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gp/Library/CloudStorage/GoogleDrive-jgarbayo@faculty.ie.edu/My Drive/IE_Classes/2023_Fall/TimeSeriesAnalysis/ZZ_Correction/midterm_G3/"/>
    </mc:Choice>
  </mc:AlternateContent>
  <xr:revisionPtr revIDLastSave="0" documentId="13_ncr:1_{D0124E34-CC87-944D-B074-2B1274E27E4B}" xr6:coauthVersionLast="47" xr6:coauthVersionMax="47" xr10:uidLastSave="{00000000-0000-0000-0000-000000000000}"/>
  <bookViews>
    <workbookView xWindow="0" yWindow="760" windowWidth="29040" windowHeight="15720" activeTab="3" xr2:uid="{BE8E94E7-6943-4568-9D2C-5CCD3D4A1201}"/>
  </bookViews>
  <sheets>
    <sheet name="Workflow" sheetId="6" r:id="rId1"/>
    <sheet name="Reportcontrol" sheetId="4" r:id="rId2"/>
    <sheet name="Filenames" sheetId="5" r:id="rId3"/>
    <sheet name="Grades" sheetId="1" r:id="rId4"/>
    <sheet name="StudentReport" sheetId="3" r:id="rId5"/>
  </sheets>
  <functionGroups builtInGroupCount="19"/>
  <definedNames>
    <definedName name="_xlnm._FilterDatabase" localSheetId="3" hidden="1">Grades!$A$5:$AA$205</definedName>
    <definedName name="filenames">Filenames!$A$1:$A$200</definedName>
    <definedName name="grades">Grades!$E$6:$AA$205</definedName>
    <definedName name="max_points">Grades!$E$3:$S$3</definedName>
    <definedName name="n_questions">Grades!$B$1</definedName>
    <definedName name="names">Grades!$B$6:$B$205</definedName>
    <definedName name="questions">Grades!$E$2:$S$2</definedName>
    <definedName name="report_description">Reportcontrol!$B$1</definedName>
    <definedName name="report_grades">StudentReport!$E$8:$S$8</definedName>
    <definedName name="report_max_points">StudentReport!$E$7:$S$7</definedName>
    <definedName name="report_name">StudentReport!$D$3</definedName>
    <definedName name="report_questions">StudentReport!$E$6:$S$6</definedName>
    <definedName name="report_surname">StudentReport!$D$4</definedName>
    <definedName name="student_id">Grades!$C$6:$C$205</definedName>
    <definedName name="surnames">Grades!$A$6:$A$205</definedName>
    <definedName name="wdir">Reportcontrol!$B$2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" l="1"/>
  <c r="D17" i="1"/>
  <c r="D7" i="1"/>
  <c r="D8" i="1"/>
  <c r="D9" i="1"/>
  <c r="D10" i="1"/>
  <c r="D11" i="1"/>
  <c r="D12" i="1"/>
  <c r="D13" i="1"/>
  <c r="D14" i="1"/>
  <c r="D16" i="1"/>
  <c r="D18" i="1"/>
  <c r="D19" i="1"/>
  <c r="D20" i="1"/>
  <c r="D21" i="1"/>
  <c r="D22" i="1"/>
  <c r="D23" i="1"/>
  <c r="D24" i="1"/>
  <c r="D25" i="1"/>
  <c r="D28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6" i="1"/>
  <c r="E10" i="3"/>
  <c r="E4" i="1"/>
  <c r="F4" i="1"/>
  <c r="G4" i="1"/>
  <c r="H4" i="1"/>
  <c r="I4" i="1"/>
  <c r="J4" i="1"/>
  <c r="K4" i="1"/>
  <c r="L4" i="1"/>
  <c r="M4" i="1"/>
  <c r="B1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3" i="1" l="1"/>
  <c r="A2" i="1"/>
  <c r="A1" i="1"/>
</calcChain>
</file>

<file path=xl/sharedStrings.xml><?xml version="1.0" encoding="utf-8"?>
<sst xmlns="http://schemas.openxmlformats.org/spreadsheetml/2006/main" count="176" uniqueCount="165">
  <si>
    <t>Question</t>
  </si>
  <si>
    <t>T Points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</si>
  <si>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</si>
  <si>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</si>
  <si>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</si>
  <si>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</si>
  <si>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</si>
  <si>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</si>
  <si>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</si>
  <si>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</si>
  <si>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</si>
  <si>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</si>
  <si>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</si>
  <si>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</si>
  <si>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</si>
  <si>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</si>
  <si>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</si>
  <si>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</si>
  <si>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</si>
  <si>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</si>
  <si>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</si>
  <si>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</si>
  <si>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</si>
  <si>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</si>
  <si>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</si>
  <si>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NAMES</t>
  </si>
  <si>
    <t>SURNAMES</t>
  </si>
  <si>
    <t>Class Average</t>
  </si>
  <si>
    <t>GRADE</t>
  </si>
  <si>
    <t>NAME</t>
  </si>
  <si>
    <t>SURNAME</t>
  </si>
  <si>
    <t>Max. Points</t>
  </si>
  <si>
    <t>Student</t>
  </si>
  <si>
    <t>wdir</t>
  </si>
  <si>
    <t>report_name</t>
  </si>
  <si>
    <t>Student ID</t>
  </si>
  <si>
    <t>TSAG2_Mid</t>
  </si>
  <si>
    <t>ANNA</t>
  </si>
  <si>
    <t>MARIA</t>
  </si>
  <si>
    <t>ALVARO</t>
  </si>
  <si>
    <t>SEBASTIÁN</t>
  </si>
  <si>
    <t>Total</t>
  </si>
  <si>
    <t>ATTIE</t>
  </si>
  <si>
    <t>MAYER NICOLAS</t>
  </si>
  <si>
    <t>BARGHOUTHI</t>
  </si>
  <si>
    <t>LAREEN</t>
  </si>
  <si>
    <t>BEYHAUT VALDES</t>
  </si>
  <si>
    <t>JUAN BAUTISTA</t>
  </si>
  <si>
    <t>CALIX LARA</t>
  </si>
  <si>
    <t>JESSIE ALESSANDRA</t>
  </si>
  <si>
    <t>CALVENTI CAMARENA</t>
  </si>
  <si>
    <t>JAIME VINICIO</t>
  </si>
  <si>
    <t>CHACÓN FÚNEZ</t>
  </si>
  <si>
    <t>MARÍA</t>
  </si>
  <si>
    <t>CHAPRA</t>
  </si>
  <si>
    <t>HASSAN</t>
  </si>
  <si>
    <t>CHEN</t>
  </si>
  <si>
    <t>RUOYI</t>
  </si>
  <si>
    <t>DANIAL</t>
  </si>
  <si>
    <t>NAJI</t>
  </si>
  <si>
    <t>DÍAZ TAMAYO</t>
  </si>
  <si>
    <t>ALEJANDRO</t>
  </si>
  <si>
    <t>EL BABA</t>
  </si>
  <si>
    <t>AHMAD</t>
  </si>
  <si>
    <t>EL SAMRA</t>
  </si>
  <si>
    <t>ALI HANY AHMED MAGDY MOHAMED</t>
  </si>
  <si>
    <t>ELBENGHAZI</t>
  </si>
  <si>
    <t>TAMER JAMAL RAMADAN</t>
  </si>
  <si>
    <t>ESTEBAN RODRIGO</t>
  </si>
  <si>
    <t>DARIO</t>
  </si>
  <si>
    <t>FERNÁNDEZ MARZO</t>
  </si>
  <si>
    <t>IAN</t>
  </si>
  <si>
    <t>GALIBDIN</t>
  </si>
  <si>
    <t>SAMEER MOEZ</t>
  </si>
  <si>
    <t>GARCIA VICENTE</t>
  </si>
  <si>
    <t>RODRIGO</t>
  </si>
  <si>
    <t>ISHAQ</t>
  </si>
  <si>
    <t>FADI IMAD MICHEL</t>
  </si>
  <si>
    <t>KHACHATRYAN</t>
  </si>
  <si>
    <t>EMILI</t>
  </si>
  <si>
    <t>KOHLER</t>
  </si>
  <si>
    <t>KARL, MAXIMILIEN</t>
  </si>
  <si>
    <t>LANDÍNEZ GARCÍA</t>
  </si>
  <si>
    <t>MARCIAL PIEDRA</t>
  </si>
  <si>
    <t>JUAN SEBASTIAN</t>
  </si>
  <si>
    <t>MARTINEZ KURI</t>
  </si>
  <si>
    <t>EMILIANO</t>
  </si>
  <si>
    <t>MARTINEZ VÁZQUEZ</t>
  </si>
  <si>
    <t>OSCAR BAATEEL</t>
  </si>
  <si>
    <t>MEDINA MENGOTTI</t>
  </si>
  <si>
    <t>NAJEDDINE</t>
  </si>
  <si>
    <t>RITA</t>
  </si>
  <si>
    <t>NARBERHAUS PIERA</t>
  </si>
  <si>
    <t>ALEX</t>
  </si>
  <si>
    <t>PACKOWSKA</t>
  </si>
  <si>
    <t>PARÁS LÓPEZ</t>
  </si>
  <si>
    <t>ROBERTO</t>
  </si>
  <si>
    <t>PERDOMO ANDRÉS</t>
  </si>
  <si>
    <t>MATEO</t>
  </si>
  <si>
    <t>PETITDIDIER</t>
  </si>
  <si>
    <t>LOUIS MARIE</t>
  </si>
  <si>
    <t>PORCAR MUNOZ</t>
  </si>
  <si>
    <t>RODRÍGUEZ SCHEMBRI</t>
  </si>
  <si>
    <t>MARIANNA</t>
  </si>
  <si>
    <t>RUIZ FERNÁNDEZ</t>
  </si>
  <si>
    <t>JULIA</t>
  </si>
  <si>
    <t>RUIZ LINARES</t>
  </si>
  <si>
    <t>FIORE MARIA</t>
  </si>
  <si>
    <t>RYAZANTSEV</t>
  </si>
  <si>
    <t>IVAN</t>
  </si>
  <si>
    <t>SHIQIM</t>
  </si>
  <si>
    <t>OMAR MOHAMMAD BAHJAT</t>
  </si>
  <si>
    <t>SOLA ALMANZAR</t>
  </si>
  <si>
    <t>MICHAEL JUHANI</t>
  </si>
  <si>
    <t>SRINIVASAN</t>
  </si>
  <si>
    <t>APSARA</t>
  </si>
  <si>
    <t>TANG</t>
  </si>
  <si>
    <t>ENZE</t>
  </si>
  <si>
    <t>TEJÓN LEIRA</t>
  </si>
  <si>
    <t>CÉSAR ALEJANDRO</t>
  </si>
  <si>
    <t>1,5</t>
  </si>
  <si>
    <t>C:\Users\J\Documents\IE_Corrections\TSA_G3_midterm\feedback</t>
  </si>
  <si>
    <t>TSAG2_Mid_19355_MAYER NICOLAS_A</t>
  </si>
  <si>
    <t>TSAG2_Mid_19589_LAREEN_B</t>
  </si>
  <si>
    <t>TSAG2_Mid_19944_JUAN BAUTISTA_BV</t>
  </si>
  <si>
    <t>TSAG2_Mid_18871_JESSIE ALESSANDRA_CL</t>
  </si>
  <si>
    <t>TSAG2_Mid_18753_JAIME VINICIO_CC</t>
  </si>
  <si>
    <t>TSAG2_Mid_19560_MARIA_CF</t>
  </si>
  <si>
    <t>TSAG2_Mid_19099_HASSAN_C</t>
  </si>
  <si>
    <t>TSAG2_Mid_20927_RUOYI_C</t>
  </si>
  <si>
    <t>TSAG2_Mid_19543_NAJI_D</t>
  </si>
  <si>
    <t>TSAG2_Mid_20475_ALEJANDRO_DT</t>
  </si>
  <si>
    <t>TSAG2_Mid_19755_AHMAD_EB</t>
  </si>
  <si>
    <t>TSAG2_Mid_19373_ALI HANY AHMED MAGDY MOHAMED_ES</t>
  </si>
  <si>
    <t>TSAG2_Mid_20455_TAMER JAMAL RAMADAN_E</t>
  </si>
  <si>
    <t>TSAG2_Mid_20067_DARIO_ER</t>
  </si>
  <si>
    <t>TSAG2_Mid_20449_IAN_FM</t>
  </si>
  <si>
    <t>TSAG2_Mid_20052_SAMEER MOEZ_G</t>
  </si>
  <si>
    <t>TSAG2_Mid_19026_RODRIGO_GV</t>
  </si>
  <si>
    <t>TSAG2_Mid_18880_FADI IMAD MICHEL_I</t>
  </si>
  <si>
    <t>TSAG2_Mid_19935_EMILI_K</t>
  </si>
  <si>
    <t>TSAG2_Mid_18845_KARL, MAXIMILIEN_K</t>
  </si>
  <si>
    <t>TSAG2_Mid_19127_SEBASTIAN_LG</t>
  </si>
  <si>
    <t>TSAG2_Mid_18726_JUAN SEBASTIAN_MP</t>
  </si>
  <si>
    <t>TSAG2_Mid_19303_EMILIANO_MK</t>
  </si>
  <si>
    <t>TSAG2_Mid_20088_OSCAR BAATEEL_MV</t>
  </si>
  <si>
    <t>TSAG2_Mid_18736_ALVARO_MM</t>
  </si>
  <si>
    <t>TSAG2_Mid_18707_RITA_N</t>
  </si>
  <si>
    <t>TSAG2_Mid_18705_ALEX_NP</t>
  </si>
  <si>
    <t>TSAG2_Mid_20960_ANNA_P</t>
  </si>
  <si>
    <t>TSAG2_Mid_18765_ROBERTO_PL</t>
  </si>
  <si>
    <t>TSAG2_Mid_20069_MATEO_PA</t>
  </si>
  <si>
    <t>TSAG2_Mid_18640_LOUIS MARIE_P</t>
  </si>
  <si>
    <t>TSAG2_Mid_19224_MARIA_PM</t>
  </si>
  <si>
    <t>TSAG2_Mid_18852_MARIANNA_RS</t>
  </si>
  <si>
    <t>TSAG2_Mid_18608_JULIA_RF</t>
  </si>
  <si>
    <t>TSAG2_Mid_20919_FIORE MARIA_RL</t>
  </si>
  <si>
    <t>TSAG2_Mid_20469_IVAN_R</t>
  </si>
  <si>
    <t>TSAG2_Mid_19341_OMAR MOHAMMAD BAHJAT_S</t>
  </si>
  <si>
    <t>TSAG2_Mid_20292_MICHAEL JUHANI_SA</t>
  </si>
  <si>
    <t>TSAG2_Mid_19878_APSARA_S</t>
  </si>
  <si>
    <t>TSAG2_Mid_20443_ENZE_T</t>
  </si>
  <si>
    <t>TSAG2_Mid_19968_CESAR ALEJANDRO_TL</t>
  </si>
  <si>
    <t>NA</t>
  </si>
  <si>
    <t>CORRECCION HECHA EN WORD APARTE (recovery)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</si>
</sst>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n_questions:&quot;\ 0"/>
    <numFmt numFmtId="165" formatCode="0.0"/>
    <numFmt numFmtId="166" formatCode="&quot;Class Average:&quot;\ 0%"/>
    <numFmt numFmtId="167" formatCode="&quot;Class Median:&quot;\ 0%"/>
    <numFmt numFmtId="168" formatCode="&quot;Std Dev:&quot;\ 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00000"/>
        <bgColor theme="0" tint="-0.14999847407452621"/>
      </patternFill>
    </fill>
    <fill>
      <patternFill patternType="solid">
        <fgColor rgb="FFC00000"/>
        <bgColor indexed="64"/>
      </patternFill>
    </fill>
  </fills>
  <borders count="1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9">
    <xf numFmtId="0" fontId="0" fillId="0" borderId="0" xfId="0"/>
    <xf numFmtId="0" fontId="3" fillId="4" borderId="3" xfId="0" applyFont="1" applyFill="1" applyBorder="1"/>
    <xf numFmtId="0" fontId="3" fillId="3" borderId="2" xfId="3"/>
    <xf numFmtId="0" fontId="3" fillId="3" borderId="2" xfId="3" applyAlignment="1">
      <alignment horizontal="center"/>
    </xf>
    <xf numFmtId="0" fontId="2" fillId="2" borderId="1" xfId="2"/>
    <xf numFmtId="0" fontId="2" fillId="2" borderId="1" xfId="2" applyAlignment="1">
      <alignment horizontal="center"/>
    </xf>
    <xf numFmtId="2" fontId="2" fillId="2" borderId="1" xfId="2" applyNumberFormat="1" applyAlignment="1">
      <alignment horizontal="center"/>
    </xf>
    <xf numFmtId="0" fontId="4" fillId="5" borderId="4" xfId="0" applyFont="1" applyFill="1" applyBorder="1"/>
    <xf numFmtId="0" fontId="4" fillId="5" borderId="4" xfId="0" applyFont="1" applyFill="1" applyBorder="1" applyAlignment="1">
      <alignment horizontal="center"/>
    </xf>
    <xf numFmtId="0" fontId="4" fillId="6" borderId="4" xfId="0" applyFont="1" applyFill="1" applyBorder="1"/>
    <xf numFmtId="0" fontId="0" fillId="6" borderId="4" xfId="0" applyFill="1" applyBorder="1" applyAlignment="1">
      <alignment horizontal="center"/>
    </xf>
    <xf numFmtId="0" fontId="4" fillId="7" borderId="4" xfId="0" applyFont="1" applyFill="1" applyBorder="1"/>
    <xf numFmtId="0" fontId="0" fillId="7" borderId="4" xfId="0" applyFill="1" applyBorder="1"/>
    <xf numFmtId="0" fontId="0" fillId="8" borderId="0" xfId="0" applyFill="1"/>
    <xf numFmtId="0" fontId="0" fillId="0" borderId="5" xfId="0" applyBorder="1"/>
    <xf numFmtId="2" fontId="6" fillId="4" borderId="3" xfId="0" applyNumberFormat="1" applyFont="1" applyFill="1" applyBorder="1" applyAlignment="1">
      <alignment horizontal="center"/>
    </xf>
    <xf numFmtId="0" fontId="0" fillId="8" borderId="3" xfId="0" applyFill="1" applyBorder="1"/>
    <xf numFmtId="9" fontId="0" fillId="8" borderId="3" xfId="1" applyFont="1" applyFill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8" borderId="0" xfId="1" applyFont="1" applyFill="1" applyBorder="1" applyAlignment="1">
      <alignment horizontal="center"/>
    </xf>
    <xf numFmtId="9" fontId="0" fillId="0" borderId="5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2" xfId="3" applyNumberFormat="1" applyAlignment="1">
      <alignment horizontal="center"/>
    </xf>
    <xf numFmtId="2" fontId="3" fillId="3" borderId="2" xfId="3" applyNumberFormat="1" applyAlignment="1">
      <alignment horizontal="center"/>
    </xf>
    <xf numFmtId="0" fontId="2" fillId="2" borderId="1" xfId="2" applyNumberFormat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6" fontId="3" fillId="4" borderId="4" xfId="0" applyNumberFormat="1" applyFont="1" applyFill="1" applyBorder="1" applyAlignment="1">
      <alignment horizontal="center"/>
    </xf>
    <xf numFmtId="167" fontId="3" fillId="4" borderId="4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168" fontId="3" fillId="4" borderId="4" xfId="0" applyNumberFormat="1" applyFont="1" applyFill="1" applyBorder="1" applyAlignment="1">
      <alignment horizontal="center"/>
    </xf>
    <xf numFmtId="165" fontId="3" fillId="3" borderId="2" xfId="3" applyNumberFormat="1" applyAlignment="1">
      <alignment horizontal="center"/>
    </xf>
    <xf numFmtId="2" fontId="0" fillId="8" borderId="3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8" borderId="0" xfId="0" applyNumberFormat="1" applyFill="1"/>
    <xf numFmtId="2" fontId="0" fillId="0" borderId="0" xfId="0" applyNumberFormat="1"/>
    <xf numFmtId="2" fontId="0" fillId="0" borderId="5" xfId="0" applyNumberFormat="1" applyBorder="1"/>
    <xf numFmtId="2" fontId="0" fillId="0" borderId="0" xfId="0" quotePrefix="1" applyNumberFormat="1" applyAlignment="1">
      <alignment horizontal="center"/>
    </xf>
    <xf numFmtId="9" fontId="0" fillId="9" borderId="0" xfId="1" applyFont="1" applyFill="1" applyBorder="1" applyAlignment="1">
      <alignment horizontal="center"/>
    </xf>
    <xf numFmtId="9" fontId="0" fillId="10" borderId="0" xfId="1" applyFont="1" applyFill="1" applyBorder="1" applyAlignment="1">
      <alignment horizontal="center"/>
    </xf>
  </cellXfs>
  <cellStyles count="4">
    <cellStyle name="Check Cell" xfId="3" builtinId="23"/>
    <cellStyle name="Normal" xfId="0" builtinId="0"/>
    <cellStyle name="Output" xfId="2" builtinId="21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161926</xdr:rowOff>
    </xdr:from>
    <xdr:to>
      <xdr:col>10</xdr:col>
      <xdr:colOff>257175</xdr:colOff>
      <xdr:row>13</xdr:row>
      <xdr:rowOff>28576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5B61EB-1D03-D43B-41F0-C8844AF071A2}"/>
            </a:ext>
          </a:extLst>
        </xdr:cNvPr>
        <xdr:cNvSpPr txBox="1"/>
      </xdr:nvSpPr>
      <xdr:spPr>
        <a:xfrm>
          <a:off x="581025" y="161926"/>
          <a:ext cx="5772150" cy="2343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</a:t>
          </a:r>
          <a:r>
            <a:rPr lang="en-US" sz="1100" baseline="0"/>
            <a:t> - Copiar nombres de alumnos, apellidos y student ids.</a:t>
          </a:r>
        </a:p>
        <a:p>
          <a:r>
            <a:rPr lang="en-US" sz="1100" baseline="0"/>
            <a:t>       NOTA: si es un group assignment, dejarlos en blanco</a:t>
          </a:r>
        </a:p>
        <a:p>
          <a:endParaRPr lang="en-US" sz="1100" baseline="0"/>
        </a:p>
        <a:p>
          <a:r>
            <a:rPr lang="en-US" sz="1100" baseline="0"/>
            <a:t>2 - Sin necesidad de tener los puntos de cada apartado, generar los student reports, esto también rellenara el campo "filenames".</a:t>
          </a:r>
        </a:p>
        <a:p>
          <a:endParaRPr lang="en-US" sz="1100" baseline="0"/>
        </a:p>
        <a:p>
          <a:r>
            <a:rPr lang="en-US" sz="1100" baseline="0"/>
            <a:t>3- Con un Script Python, crear copias del assignment/notebook con cada uno de los nombres.</a:t>
          </a:r>
        </a:p>
        <a:p>
          <a:endParaRPr lang="en-US" sz="1100" baseline="0"/>
        </a:p>
        <a:p>
          <a:r>
            <a:rPr lang="en-US" sz="1100" baseline="0"/>
            <a:t>4- Recuperar los archivos de los alumnos.</a:t>
          </a:r>
        </a:p>
        <a:p>
          <a:endParaRPr lang="en-US" sz="1100" baseline="0"/>
        </a:p>
        <a:p>
          <a:r>
            <a:rPr lang="en-US" sz="1100" baseline="0"/>
            <a:t>5- Con un script python guardar ambos en un .zip si se tienen dos archivos con el mismo nombre.</a:t>
          </a:r>
        </a:p>
        <a:p>
          <a:endParaRPr lang="en-US" sz="1100" baseline="0"/>
        </a:p>
        <a:p>
          <a:r>
            <a:rPr lang="en-US" sz="1100" baseline="0"/>
            <a:t>6- Remitir a través de blackboard.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86B6-F735-4048-AB93-2BD05B5FB227}">
  <sheetPr codeName="Sheet5"/>
  <dimension ref="A1"/>
  <sheetViews>
    <sheetView zoomScale="139" workbookViewId="0">
      <selection activeCell="J21" sqref="J21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F41EF-7152-43B4-AA1D-673CAAE23BDA}">
  <sheetPr codeName="Sheet3"/>
  <dimension ref="A1:B2"/>
  <sheetViews>
    <sheetView workbookViewId="0">
      <selection activeCell="B3" sqref="B3"/>
    </sheetView>
  </sheetViews>
  <sheetFormatPr baseColWidth="10" defaultColWidth="8.83203125" defaultRowHeight="15" x14ac:dyDescent="0.2"/>
  <cols>
    <col min="1" max="1" width="15.5" customWidth="1"/>
  </cols>
  <sheetData>
    <row r="1" spans="1:2" x14ac:dyDescent="0.2">
      <c r="A1" t="s">
        <v>34</v>
      </c>
      <c r="B1" t="s">
        <v>36</v>
      </c>
    </row>
    <row r="2" spans="1:2" x14ac:dyDescent="0.2">
      <c r="A2" t="s">
        <v>33</v>
      </c>
      <c r="B2" t="s">
        <v>121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3E305-8171-43D5-A32C-28D7DCCB1675}">
  <sheetPr codeName="Sheet4"/>
  <dimension ref="A1:A41"/>
  <sheetViews>
    <sheetView workbookViewId="0">
      <selection sqref="A1:A60"/>
    </sheetView>
  </sheetViews>
  <sheetFormatPr baseColWidth="10" defaultColWidth="8.83203125" defaultRowHeight="15" x14ac:dyDescent="0.2"/>
  <cols>
    <col min="1" max="1" width="47.6640625" customWidth="1"/>
  </cols>
  <sheetData>
    <row r="1" spans="1:1" x14ac:dyDescent="0.2">
      <c r="A1" t="s">
        <v>122</v>
      </c>
    </row>
    <row r="2" spans="1:1" x14ac:dyDescent="0.2">
      <c r="A2" t="s">
        <v>123</v>
      </c>
    </row>
    <row r="3" spans="1:1" x14ac:dyDescent="0.2">
      <c r="A3" t="s">
        <v>124</v>
      </c>
    </row>
    <row r="4" spans="1:1" x14ac:dyDescent="0.2">
      <c r="A4" t="s">
        <v>125</v>
      </c>
    </row>
    <row r="5" spans="1:1" x14ac:dyDescent="0.2">
      <c r="A5" t="s">
        <v>126</v>
      </c>
    </row>
    <row r="6" spans="1:1" x14ac:dyDescent="0.2">
      <c r="A6" t="s">
        <v>127</v>
      </c>
    </row>
    <row r="7" spans="1:1" x14ac:dyDescent="0.2">
      <c r="A7" t="s">
        <v>128</v>
      </c>
    </row>
    <row r="8" spans="1:1" x14ac:dyDescent="0.2">
      <c r="A8" t="s">
        <v>129</v>
      </c>
    </row>
    <row r="9" spans="1:1" x14ac:dyDescent="0.2">
      <c r="A9" t="s">
        <v>130</v>
      </c>
    </row>
    <row r="10" spans="1:1" x14ac:dyDescent="0.2">
      <c r="A10" t="s">
        <v>131</v>
      </c>
    </row>
    <row r="11" spans="1:1" x14ac:dyDescent="0.2">
      <c r="A11" t="s">
        <v>132</v>
      </c>
    </row>
    <row r="12" spans="1:1" x14ac:dyDescent="0.2">
      <c r="A12" t="s">
        <v>133</v>
      </c>
    </row>
    <row r="13" spans="1:1" x14ac:dyDescent="0.2">
      <c r="A13" t="s">
        <v>134</v>
      </c>
    </row>
    <row r="14" spans="1:1" x14ac:dyDescent="0.2">
      <c r="A14" t="s">
        <v>135</v>
      </c>
    </row>
    <row r="15" spans="1:1" x14ac:dyDescent="0.2">
      <c r="A15" t="s">
        <v>136</v>
      </c>
    </row>
    <row r="16" spans="1:1" x14ac:dyDescent="0.2">
      <c r="A16" t="s">
        <v>137</v>
      </c>
    </row>
    <row r="17" spans="1:1" x14ac:dyDescent="0.2">
      <c r="A17" t="s">
        <v>138</v>
      </c>
    </row>
    <row r="18" spans="1:1" x14ac:dyDescent="0.2">
      <c r="A18" t="s">
        <v>139</v>
      </c>
    </row>
    <row r="19" spans="1:1" x14ac:dyDescent="0.2">
      <c r="A19" t="s">
        <v>140</v>
      </c>
    </row>
    <row r="20" spans="1:1" x14ac:dyDescent="0.2">
      <c r="A20" t="s">
        <v>141</v>
      </c>
    </row>
    <row r="21" spans="1:1" x14ac:dyDescent="0.2">
      <c r="A21" t="s">
        <v>142</v>
      </c>
    </row>
    <row r="22" spans="1:1" x14ac:dyDescent="0.2">
      <c r="A22" t="s">
        <v>143</v>
      </c>
    </row>
    <row r="23" spans="1:1" x14ac:dyDescent="0.2">
      <c r="A23" t="s">
        <v>144</v>
      </c>
    </row>
    <row r="24" spans="1:1" x14ac:dyDescent="0.2">
      <c r="A24" t="s">
        <v>145</v>
      </c>
    </row>
    <row r="25" spans="1:1" x14ac:dyDescent="0.2">
      <c r="A25" t="s">
        <v>146</v>
      </c>
    </row>
    <row r="26" spans="1:1" x14ac:dyDescent="0.2">
      <c r="A26" t="s">
        <v>147</v>
      </c>
    </row>
    <row r="27" spans="1:1" x14ac:dyDescent="0.2">
      <c r="A27" t="s">
        <v>148</v>
      </c>
    </row>
    <row r="28" spans="1:1" x14ac:dyDescent="0.2">
      <c r="A28" t="s">
        <v>149</v>
      </c>
    </row>
    <row r="29" spans="1:1" x14ac:dyDescent="0.2">
      <c r="A29" t="s">
        <v>150</v>
      </c>
    </row>
    <row r="30" spans="1:1" x14ac:dyDescent="0.2">
      <c r="A30" t="s">
        <v>151</v>
      </c>
    </row>
    <row r="31" spans="1:1" x14ac:dyDescent="0.2">
      <c r="A31" t="s">
        <v>152</v>
      </c>
    </row>
    <row r="32" spans="1:1" x14ac:dyDescent="0.2">
      <c r="A32" t="s">
        <v>153</v>
      </c>
    </row>
    <row r="33" spans="1:1" x14ac:dyDescent="0.2">
      <c r="A33" t="s">
        <v>154</v>
      </c>
    </row>
    <row r="34" spans="1:1" x14ac:dyDescent="0.2">
      <c r="A34" t="s">
        <v>155</v>
      </c>
    </row>
    <row r="35" spans="1:1" x14ac:dyDescent="0.2">
      <c r="A35" t="s">
        <v>156</v>
      </c>
    </row>
    <row r="36" spans="1:1" x14ac:dyDescent="0.2">
      <c r="A36" t="s">
        <v>157</v>
      </c>
    </row>
    <row r="37" spans="1:1" x14ac:dyDescent="0.2">
      <c r="A37" t="s">
        <v>158</v>
      </c>
    </row>
    <row r="38" spans="1:1" x14ac:dyDescent="0.2">
      <c r="A38" t="s">
        <v>159</v>
      </c>
    </row>
    <row r="39" spans="1:1" x14ac:dyDescent="0.2">
      <c r="A39" t="s">
        <v>160</v>
      </c>
    </row>
    <row r="40" spans="1:1" x14ac:dyDescent="0.2">
      <c r="A40" t="s">
        <v>161</v>
      </c>
    </row>
    <row r="41" spans="1:1" x14ac:dyDescent="0.2">
      <c r="A41" t="s">
        <v>162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795C6-1B6A-412F-81E5-C3424C3E363B}">
  <sheetPr codeName="Sheet1"/>
  <dimension ref="A1:AA205"/>
  <sheetViews>
    <sheetView tabSelected="1" zoomScale="110" zoomScaleNormal="110" workbookViewId="0">
      <pane ySplit="4" topLeftCell="A5" activePane="bottomLeft" state="frozen"/>
      <selection pane="bottomLeft" activeCell="D16" sqref="D16"/>
    </sheetView>
  </sheetViews>
  <sheetFormatPr baseColWidth="10" defaultColWidth="8.83203125" defaultRowHeight="15" x14ac:dyDescent="0.2"/>
  <cols>
    <col min="1" max="1" width="36.1640625" bestFit="1" customWidth="1"/>
    <col min="2" max="2" width="19" bestFit="1" customWidth="1"/>
    <col min="3" max="4" width="13.33203125" bestFit="1" customWidth="1"/>
    <col min="5" max="11" width="11" style="44" customWidth="1"/>
    <col min="12" max="13" width="12" style="44" customWidth="1"/>
    <col min="14" max="27" width="12" customWidth="1"/>
  </cols>
  <sheetData>
    <row r="1" spans="1:27" ht="16" thickBot="1" x14ac:dyDescent="0.25">
      <c r="A1" s="35">
        <f>AVERAGE(D6:D205)</f>
        <v>0.59890243902439011</v>
      </c>
      <c r="B1" s="37">
        <f>COUNTA(max_points)</f>
        <v>9</v>
      </c>
      <c r="C1" s="21"/>
      <c r="E1"/>
      <c r="F1"/>
      <c r="G1"/>
      <c r="H1"/>
      <c r="I1"/>
      <c r="J1"/>
      <c r="K1"/>
      <c r="L1"/>
      <c r="M1"/>
    </row>
    <row r="2" spans="1:27" ht="17" thickTop="1" thickBot="1" x14ac:dyDescent="0.25">
      <c r="A2" s="36">
        <f>MEDIAN(D6:D65)</f>
        <v>0.65</v>
      </c>
      <c r="B2" s="21"/>
      <c r="C2" s="21"/>
      <c r="D2" s="2" t="s">
        <v>0</v>
      </c>
      <c r="E2" s="23">
        <v>1</v>
      </c>
      <c r="F2" s="22">
        <v>2.1</v>
      </c>
      <c r="G2" s="22">
        <v>2.2000000000000002</v>
      </c>
      <c r="H2" s="22">
        <v>2.2999999999999998</v>
      </c>
      <c r="I2" s="39">
        <v>3.1</v>
      </c>
      <c r="J2" s="22">
        <v>3.2</v>
      </c>
      <c r="K2" s="22">
        <v>3.3</v>
      </c>
      <c r="L2" s="22">
        <v>4.0999999999999996</v>
      </c>
      <c r="M2" s="23">
        <v>4.2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16" thickTop="1" x14ac:dyDescent="0.2">
      <c r="A3" s="38">
        <f>_xlfn.STDEV.S(D6:D205)</f>
        <v>0.23758817361961154</v>
      </c>
      <c r="B3" s="21"/>
      <c r="C3" s="21"/>
      <c r="D3" s="4" t="s">
        <v>1</v>
      </c>
      <c r="E3" s="24">
        <v>2.5</v>
      </c>
      <c r="F3" s="6">
        <v>1.5</v>
      </c>
      <c r="G3" s="24">
        <v>0.5</v>
      </c>
      <c r="H3" s="6">
        <v>1</v>
      </c>
      <c r="I3" s="24">
        <v>1.5</v>
      </c>
      <c r="J3" s="6">
        <v>1</v>
      </c>
      <c r="K3" s="6">
        <v>0.5</v>
      </c>
      <c r="L3" s="6">
        <v>0.75</v>
      </c>
      <c r="M3" s="24">
        <v>0.75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x14ac:dyDescent="0.2">
      <c r="B4" s="21"/>
      <c r="C4" s="21"/>
      <c r="D4" s="4" t="s">
        <v>27</v>
      </c>
      <c r="E4" s="6">
        <f>IFERROR(AVERAGE(Grades!$E$6:$E$205), "")</f>
        <v>2.0187499999999998</v>
      </c>
      <c r="F4" s="6">
        <f>IFERROR(AVERAGE(Grades!$F$6:$F$205), "")</f>
        <v>1.0062500000000001</v>
      </c>
      <c r="G4" s="6">
        <f>IFERROR(AVERAGE(Grades!$G$6:$G$205), "")</f>
        <v>0.36374999999999996</v>
      </c>
      <c r="H4" s="6">
        <f>IFERROR(AVERAGE(Grades!$H$6:$H$205), "")</f>
        <v>0.43999999999999984</v>
      </c>
      <c r="I4" s="6">
        <f>IFERROR(AVERAGE(Grades!$I$6:$I$205), "")</f>
        <v>1.2564102564102564</v>
      </c>
      <c r="J4" s="6">
        <f>IFERROR(AVERAGE(Grades!$J$6:$J$205), "")</f>
        <v>0.48717948717948717</v>
      </c>
      <c r="K4" s="6">
        <f>IFERROR(AVERAGE(Grades!$K$6:$K$205), "")</f>
        <v>0.15249999999999997</v>
      </c>
      <c r="L4" s="6">
        <f>IFERROR(AVERAGE(Grades!$L$6:$L$205), "")</f>
        <v>0.16250000000000003</v>
      </c>
      <c r="M4" s="6">
        <f>IFERROR(AVERAGE(Grades!$M$6:$M$205), "")</f>
        <v>0.12</v>
      </c>
      <c r="N4" s="6" t="str">
        <f>IFERROR(AVERAGE(Grades!$N$6:$N$205), "")</f>
        <v/>
      </c>
      <c r="O4" s="6" t="str">
        <f>IFERROR(AVERAGE(Grades!$O$6:$O$205), "")</f>
        <v/>
      </c>
      <c r="P4" s="6" t="str">
        <f>IFERROR(AVERAGE(Grades!$P$6:$P$205), "")</f>
        <v/>
      </c>
      <c r="Q4" s="6" t="str">
        <f>IFERROR(AVERAGE(Grades!$Q$6:$Q$205), "")</f>
        <v/>
      </c>
      <c r="R4" s="6" t="str">
        <f>IFERROR(AVERAGE(Grades!$R$6:$R$205), "")</f>
        <v/>
      </c>
      <c r="S4" s="6" t="str">
        <f>IFERROR(AVERAGE(Grades!$S$6:$S$205), "")</f>
        <v/>
      </c>
      <c r="T4" s="6" t="str">
        <f>IFERROR(AVERAGE(Grades!$T$6:$T$205), "")</f>
        <v/>
      </c>
      <c r="U4" s="6" t="str">
        <f>IFERROR(AVERAGE(Grades!$U$6:$U$205), "")</f>
        <v/>
      </c>
      <c r="V4" s="6" t="str">
        <f>IFERROR(AVERAGE(Grades!$V$6:$V$205), "")</f>
        <v/>
      </c>
      <c r="W4" s="6" t="str">
        <f>IFERROR(AVERAGE(Grades!$W$6:$W$205), "")</f>
        <v/>
      </c>
      <c r="X4" s="6" t="str">
        <f>IFERROR(AVERAGE(Grades!$X$6:$X$205), "")</f>
        <v/>
      </c>
      <c r="Y4" s="6" t="str">
        <f>IFERROR(AVERAGE(Grades!$Y$6:$Y$205), "")</f>
        <v/>
      </c>
      <c r="Z4" s="6" t="str">
        <f>IFERROR(AVERAGE(Grades!$Z$6:$Z$205), "")</f>
        <v/>
      </c>
      <c r="AA4" s="6" t="str">
        <f>IFERROR(AVERAGE(Grades!$AA$6:$AA$205), "")</f>
        <v/>
      </c>
    </row>
    <row r="5" spans="1:27" x14ac:dyDescent="0.2">
      <c r="A5" s="1" t="s">
        <v>26</v>
      </c>
      <c r="B5" s="1" t="s">
        <v>25</v>
      </c>
      <c r="C5" s="1" t="s">
        <v>35</v>
      </c>
      <c r="D5" s="1" t="s">
        <v>28</v>
      </c>
      <c r="E5" s="15" t="s">
        <v>2</v>
      </c>
      <c r="F5" s="15" t="s">
        <v>3</v>
      </c>
      <c r="G5" s="15" t="s">
        <v>4</v>
      </c>
      <c r="H5" s="15" t="s">
        <v>5</v>
      </c>
      <c r="I5" s="15" t="s">
        <v>6</v>
      </c>
      <c r="J5" s="15" t="s">
        <v>7</v>
      </c>
      <c r="K5" s="15" t="s">
        <v>8</v>
      </c>
      <c r="L5" s="15" t="s">
        <v>9</v>
      </c>
      <c r="M5" s="15" t="s">
        <v>10</v>
      </c>
      <c r="N5" s="15" t="s">
        <v>11</v>
      </c>
      <c r="O5" s="15" t="s">
        <v>12</v>
      </c>
      <c r="P5" s="15" t="s">
        <v>13</v>
      </c>
      <c r="Q5" s="15" t="s">
        <v>14</v>
      </c>
      <c r="R5" s="15" t="s">
        <v>15</v>
      </c>
      <c r="S5" s="15" t="s">
        <v>16</v>
      </c>
      <c r="T5" s="15" t="s">
        <v>17</v>
      </c>
      <c r="U5" s="15" t="s">
        <v>18</v>
      </c>
      <c r="V5" s="15" t="s">
        <v>19</v>
      </c>
      <c r="W5" s="15" t="s">
        <v>20</v>
      </c>
      <c r="X5" s="15" t="s">
        <v>21</v>
      </c>
      <c r="Y5" s="15" t="s">
        <v>22</v>
      </c>
      <c r="Z5" s="15" t="s">
        <v>23</v>
      </c>
      <c r="AA5" s="15" t="s">
        <v>24</v>
      </c>
    </row>
    <row r="6" spans="1:27" x14ac:dyDescent="0.2">
      <c r="A6" s="16" t="s">
        <v>42</v>
      </c>
      <c r="B6" s="16" t="s">
        <v>43</v>
      </c>
      <c r="C6" s="16">
        <v>19355</v>
      </c>
      <c r="D6" s="17">
        <f>IF(SUM(Grades!$E6:$AA6)/SUM($E$3:$AA$3) &lt;&gt; 0, SUM(Grades!$E6:$AA6)/SUM($E$3:$AA$3), "")</f>
        <v>0.75</v>
      </c>
      <c r="E6" s="40">
        <v>2.5</v>
      </c>
      <c r="F6" s="40">
        <v>1.5</v>
      </c>
      <c r="G6" s="40">
        <v>0.5</v>
      </c>
      <c r="H6" s="40">
        <v>0.75</v>
      </c>
      <c r="I6" s="40">
        <v>1.5</v>
      </c>
      <c r="J6" s="40">
        <v>0.25</v>
      </c>
      <c r="K6" s="40">
        <v>0.5</v>
      </c>
      <c r="L6" s="40">
        <v>0</v>
      </c>
      <c r="M6" s="40">
        <v>0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7" x14ac:dyDescent="0.2">
      <c r="A7" t="s">
        <v>44</v>
      </c>
      <c r="B7" t="s">
        <v>45</v>
      </c>
      <c r="C7">
        <v>19589</v>
      </c>
      <c r="D7" s="18">
        <f>IF(SUM(Grades!$E7:$AA7)/SUM($E$3:$AA$3) &lt;&gt; 0, SUM(Grades!$E7:$AA7)/SUM($E$3:$AA$3), "")</f>
        <v>0.49499999999999994</v>
      </c>
      <c r="E7" s="41">
        <v>2</v>
      </c>
      <c r="F7" s="41">
        <v>0</v>
      </c>
      <c r="G7" s="41">
        <v>0.5</v>
      </c>
      <c r="H7" s="41">
        <v>0.25</v>
      </c>
      <c r="I7" s="41">
        <v>1.5</v>
      </c>
      <c r="J7" s="41">
        <v>0</v>
      </c>
      <c r="K7" s="41">
        <v>0</v>
      </c>
      <c r="L7" s="41">
        <v>0.35</v>
      </c>
      <c r="M7" s="41">
        <v>0.35</v>
      </c>
    </row>
    <row r="8" spans="1:27" x14ac:dyDescent="0.2">
      <c r="A8" s="13" t="s">
        <v>46</v>
      </c>
      <c r="B8" s="13" t="s">
        <v>47</v>
      </c>
      <c r="C8" s="13">
        <v>19944</v>
      </c>
      <c r="D8" s="19">
        <f>IF(SUM(Grades!$E8:$AA8)/SUM($E$3:$AA$3) &lt;&gt; 0, SUM(Grades!$E8:$AA8)/SUM($E$3:$AA$3), "")</f>
        <v>0.57499999999999996</v>
      </c>
      <c r="E8" s="42">
        <v>2.5</v>
      </c>
      <c r="F8" s="42">
        <v>0</v>
      </c>
      <c r="G8" s="42">
        <v>0.5</v>
      </c>
      <c r="H8" s="42">
        <v>0.75</v>
      </c>
      <c r="I8" s="42">
        <v>1.5</v>
      </c>
      <c r="J8" s="42">
        <v>0.25</v>
      </c>
      <c r="K8" s="42">
        <v>0.25</v>
      </c>
      <c r="L8" s="42">
        <v>0</v>
      </c>
      <c r="M8" s="42">
        <v>0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x14ac:dyDescent="0.2">
      <c r="A9" t="s">
        <v>48</v>
      </c>
      <c r="B9" t="s">
        <v>49</v>
      </c>
      <c r="C9">
        <v>18871</v>
      </c>
      <c r="D9" s="18">
        <f>IF(SUM(Grades!$E9:$AA9)/SUM($E$3:$AA$3) &lt;&gt; 0, SUM(Grades!$E9:$AA9)/SUM($E$3:$AA$3), "")</f>
        <v>0.95</v>
      </c>
      <c r="E9" s="41">
        <v>2.5</v>
      </c>
      <c r="F9" s="41">
        <v>1.5</v>
      </c>
      <c r="G9" s="41">
        <v>0.25</v>
      </c>
      <c r="H9" s="41">
        <v>0.75</v>
      </c>
      <c r="I9" s="41">
        <v>1.5</v>
      </c>
      <c r="J9" s="41">
        <v>1</v>
      </c>
      <c r="K9" s="41">
        <v>0.5</v>
      </c>
      <c r="L9" s="41">
        <v>0.75</v>
      </c>
      <c r="M9" s="41">
        <v>0.75</v>
      </c>
    </row>
    <row r="10" spans="1:27" x14ac:dyDescent="0.2">
      <c r="A10" s="13" t="s">
        <v>50</v>
      </c>
      <c r="B10" s="13" t="s">
        <v>51</v>
      </c>
      <c r="C10" s="13">
        <v>18753</v>
      </c>
      <c r="D10" s="19">
        <f>IF(SUM(Grades!$E10:$AA10)/SUM($E$3:$AA$3) &lt;&gt; 0, SUM(Grades!$E10:$AA10)/SUM($E$3:$AA$3), "")</f>
        <v>0.47499999999999998</v>
      </c>
      <c r="E10" s="42">
        <v>1.25</v>
      </c>
      <c r="F10" s="42">
        <v>0.75</v>
      </c>
      <c r="G10" s="42">
        <v>0.5</v>
      </c>
      <c r="H10" s="42">
        <v>0.25</v>
      </c>
      <c r="I10" s="42">
        <v>1.5</v>
      </c>
      <c r="J10" s="42">
        <v>0.5</v>
      </c>
      <c r="K10" s="42">
        <v>0</v>
      </c>
      <c r="L10" s="42">
        <v>0</v>
      </c>
      <c r="M10" s="42">
        <v>0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">
      <c r="A11" t="s">
        <v>52</v>
      </c>
      <c r="B11" t="s">
        <v>53</v>
      </c>
      <c r="C11">
        <v>19560</v>
      </c>
      <c r="D11" s="18">
        <f>IF(SUM(Grades!$E11:$AA11)/SUM($E$3:$AA$3) &lt;&gt; 0, SUM(Grades!$E11:$AA11)/SUM($E$3:$AA$3), "")</f>
        <v>0.57499999999999996</v>
      </c>
      <c r="E11" s="41">
        <v>2.5</v>
      </c>
      <c r="F11" s="41">
        <v>0.5</v>
      </c>
      <c r="G11" s="41">
        <v>0.5</v>
      </c>
      <c r="H11" s="41">
        <v>0.5</v>
      </c>
      <c r="I11" s="41">
        <v>0.25</v>
      </c>
      <c r="J11" s="41">
        <v>0</v>
      </c>
      <c r="K11" s="41">
        <v>0</v>
      </c>
      <c r="L11" s="41">
        <v>0.75</v>
      </c>
      <c r="M11" s="41">
        <v>0.75</v>
      </c>
    </row>
    <row r="12" spans="1:27" x14ac:dyDescent="0.2">
      <c r="A12" s="13" t="s">
        <v>54</v>
      </c>
      <c r="B12" s="13" t="s">
        <v>55</v>
      </c>
      <c r="C12" s="13">
        <v>19099</v>
      </c>
      <c r="D12" s="19">
        <f>IF(SUM(Grades!$E12:$AA12)/SUM($E$3:$AA$3) &lt;&gt; 0, SUM(Grades!$E12:$AA12)/SUM($E$3:$AA$3), "")</f>
        <v>0.65</v>
      </c>
      <c r="E12" s="42">
        <v>2.5</v>
      </c>
      <c r="F12" s="42">
        <v>1.5</v>
      </c>
      <c r="G12" s="42">
        <v>0.25</v>
      </c>
      <c r="H12" s="42">
        <v>0.25</v>
      </c>
      <c r="I12" s="42">
        <v>1.5</v>
      </c>
      <c r="J12" s="42">
        <v>0.5</v>
      </c>
      <c r="K12" s="42">
        <v>0</v>
      </c>
      <c r="L12" s="42">
        <v>0</v>
      </c>
      <c r="M12" s="42">
        <v>0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">
      <c r="A13" t="s">
        <v>56</v>
      </c>
      <c r="B13" t="s">
        <v>57</v>
      </c>
      <c r="C13">
        <v>20927</v>
      </c>
      <c r="D13" s="18">
        <f>IF(SUM(Grades!$E13:$AA13)/SUM($E$3:$AA$3) &lt;&gt; 0, SUM(Grades!$E13:$AA13)/SUM($E$3:$AA$3), "")</f>
        <v>0.625</v>
      </c>
      <c r="E13" s="41">
        <v>2.25</v>
      </c>
      <c r="F13" s="41">
        <v>1.5</v>
      </c>
      <c r="G13" s="41">
        <v>0.25</v>
      </c>
      <c r="H13" s="41">
        <v>0.25</v>
      </c>
      <c r="I13" s="41">
        <v>1.5</v>
      </c>
      <c r="J13" s="41">
        <v>0.5</v>
      </c>
      <c r="K13" s="46">
        <v>0</v>
      </c>
      <c r="L13" s="41">
        <v>0</v>
      </c>
      <c r="M13" s="41">
        <v>0</v>
      </c>
    </row>
    <row r="14" spans="1:27" x14ac:dyDescent="0.2">
      <c r="A14" s="13" t="s">
        <v>58</v>
      </c>
      <c r="B14" s="13" t="s">
        <v>59</v>
      </c>
      <c r="C14" s="13">
        <v>19543</v>
      </c>
      <c r="D14" s="19">
        <f>IF(SUM(Grades!$E14:$AA14)/SUM($E$3:$AA$3) &lt;&gt; 0, SUM(Grades!$E14:$AA14)/SUM($E$3:$AA$3), "")</f>
        <v>1</v>
      </c>
      <c r="E14" s="42">
        <v>2.5</v>
      </c>
      <c r="F14" s="42">
        <v>1.5</v>
      </c>
      <c r="G14" s="42">
        <v>0.5</v>
      </c>
      <c r="H14" s="42">
        <v>1</v>
      </c>
      <c r="I14" s="42">
        <v>1.5</v>
      </c>
      <c r="J14" s="42">
        <v>1</v>
      </c>
      <c r="K14" s="42">
        <v>0.5</v>
      </c>
      <c r="L14" s="42">
        <v>0.75</v>
      </c>
      <c r="M14" s="42">
        <v>0.75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">
      <c r="A15" t="s">
        <v>60</v>
      </c>
      <c r="B15" t="s">
        <v>61</v>
      </c>
      <c r="C15">
        <v>20475</v>
      </c>
      <c r="D15" s="18">
        <v>0.7</v>
      </c>
      <c r="E15" s="41" t="s">
        <v>163</v>
      </c>
      <c r="F15" s="41" t="s">
        <v>163</v>
      </c>
      <c r="G15" s="41" t="s">
        <v>163</v>
      </c>
      <c r="H15" s="41" t="s">
        <v>163</v>
      </c>
      <c r="I15" s="41" t="s">
        <v>163</v>
      </c>
      <c r="J15" s="41" t="s">
        <v>163</v>
      </c>
      <c r="K15" s="41" t="s">
        <v>163</v>
      </c>
      <c r="L15" s="41" t="s">
        <v>163</v>
      </c>
      <c r="M15" s="41" t="s">
        <v>163</v>
      </c>
      <c r="N15" s="41" t="s">
        <v>164</v>
      </c>
    </row>
    <row r="16" spans="1:27" x14ac:dyDescent="0.2">
      <c r="A16" s="13" t="s">
        <v>62</v>
      </c>
      <c r="B16" s="13" t="s">
        <v>63</v>
      </c>
      <c r="C16" s="13">
        <v>19755</v>
      </c>
      <c r="D16" s="19">
        <f>IF(SUM(Grades!$E16:$AA16)/SUM($E$3:$AA$3) &lt;&gt; 0, SUM(Grades!$E16:$AA16)/SUM($E$3:$AA$3), "")</f>
        <v>0.55500000000000005</v>
      </c>
      <c r="E16" s="42">
        <v>2</v>
      </c>
      <c r="F16" s="42">
        <v>1</v>
      </c>
      <c r="G16" s="42">
        <v>0.2</v>
      </c>
      <c r="H16" s="42">
        <v>0.1</v>
      </c>
      <c r="I16" s="42">
        <v>1</v>
      </c>
      <c r="J16" s="42">
        <v>0.5</v>
      </c>
      <c r="K16" s="42">
        <v>0</v>
      </c>
      <c r="L16" s="42">
        <v>0.75</v>
      </c>
      <c r="M16" s="42">
        <v>0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x14ac:dyDescent="0.2">
      <c r="A17" t="s">
        <v>64</v>
      </c>
      <c r="B17" t="s">
        <v>65</v>
      </c>
      <c r="C17">
        <v>19373</v>
      </c>
      <c r="D17" s="18">
        <f>IF(SUM(Grades!$E17:$AA17)/SUM($E$3:$AA$3) &lt;&gt; 0, SUM(Grades!$E17:$AA17)/SUM($E$3:$AA$3), "")</f>
        <v>0.67999999999999994</v>
      </c>
      <c r="E17" s="41">
        <v>2.5</v>
      </c>
      <c r="F17" s="41">
        <v>1</v>
      </c>
      <c r="G17" s="41">
        <v>0.5</v>
      </c>
      <c r="H17" s="41">
        <v>0.25</v>
      </c>
      <c r="I17" s="41">
        <v>1.5</v>
      </c>
      <c r="J17" s="41">
        <v>0.5</v>
      </c>
      <c r="K17" s="41">
        <v>0.35</v>
      </c>
      <c r="L17" s="41">
        <v>0.2</v>
      </c>
      <c r="M17" s="41">
        <v>0</v>
      </c>
    </row>
    <row r="18" spans="1:27" x14ac:dyDescent="0.2">
      <c r="A18" s="13" t="s">
        <v>66</v>
      </c>
      <c r="B18" s="13" t="s">
        <v>67</v>
      </c>
      <c r="C18" s="13">
        <v>20455</v>
      </c>
      <c r="D18" s="19">
        <f>IF(SUM(Grades!$E18:$AA18)/SUM($E$3:$AA$3) &lt;&gt; 0, SUM(Grades!$E18:$AA18)/SUM($E$3:$AA$3), "")</f>
        <v>0.41</v>
      </c>
      <c r="E18" s="42">
        <v>2.5</v>
      </c>
      <c r="F18" s="42">
        <v>0.5</v>
      </c>
      <c r="G18" s="42">
        <v>0</v>
      </c>
      <c r="H18" s="42">
        <v>0</v>
      </c>
      <c r="I18" s="42">
        <v>1</v>
      </c>
      <c r="J18" s="42">
        <v>0.1</v>
      </c>
      <c r="K18" s="42">
        <v>0</v>
      </c>
      <c r="L18" s="42">
        <v>0</v>
      </c>
      <c r="M18" s="42">
        <v>0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x14ac:dyDescent="0.2">
      <c r="A19" t="s">
        <v>68</v>
      </c>
      <c r="B19" t="s">
        <v>69</v>
      </c>
      <c r="C19">
        <v>20067</v>
      </c>
      <c r="D19" s="18">
        <f>IF(SUM(Grades!$E19:$AA19)/SUM($E$3:$AA$3) &lt;&gt; 0, SUM(Grades!$E19:$AA19)/SUM($E$3:$AA$3), "")</f>
        <v>0.64500000000000002</v>
      </c>
      <c r="E19" s="41">
        <v>2</v>
      </c>
      <c r="F19" s="41">
        <v>1.5</v>
      </c>
      <c r="G19" s="41">
        <v>0.5</v>
      </c>
      <c r="H19" s="41">
        <v>0.15</v>
      </c>
      <c r="I19" s="41">
        <v>1.5</v>
      </c>
      <c r="J19" s="41">
        <v>0.8</v>
      </c>
      <c r="K19" s="41">
        <v>0</v>
      </c>
      <c r="L19" s="41">
        <v>0</v>
      </c>
      <c r="M19" s="41">
        <v>0</v>
      </c>
    </row>
    <row r="20" spans="1:27" x14ac:dyDescent="0.2">
      <c r="A20" s="13" t="s">
        <v>70</v>
      </c>
      <c r="B20" s="13" t="s">
        <v>71</v>
      </c>
      <c r="C20" s="13">
        <v>20449</v>
      </c>
      <c r="D20" s="19">
        <f>IF(SUM(Grades!$E20:$AA20)/SUM($E$3:$AA$3) &lt;&gt; 0, SUM(Grades!$E20:$AA20)/SUM($E$3:$AA$3), "")</f>
        <v>0.65</v>
      </c>
      <c r="E20" s="42">
        <v>2.5</v>
      </c>
      <c r="F20" s="42">
        <v>1.5</v>
      </c>
      <c r="G20" s="42">
        <v>0.5</v>
      </c>
      <c r="H20" s="42">
        <v>0</v>
      </c>
      <c r="I20" s="42">
        <v>1.5</v>
      </c>
      <c r="J20" s="42">
        <v>0.5</v>
      </c>
      <c r="K20" s="42">
        <v>0</v>
      </c>
      <c r="L20" s="42">
        <v>0</v>
      </c>
      <c r="M20" s="42">
        <v>0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1:27" x14ac:dyDescent="0.2">
      <c r="A21" t="s">
        <v>72</v>
      </c>
      <c r="B21" t="s">
        <v>73</v>
      </c>
      <c r="C21">
        <v>20052</v>
      </c>
      <c r="D21" s="18">
        <f>IF(SUM(Grades!$E21:$AA21)/SUM($E$3:$AA$3) &lt;&gt; 0, SUM(Grades!$E21:$AA21)/SUM($E$3:$AA$3), "")</f>
        <v>0.65500000000000003</v>
      </c>
      <c r="E21" s="41">
        <v>2</v>
      </c>
      <c r="F21" s="41">
        <v>1</v>
      </c>
      <c r="G21" s="41">
        <v>0.3</v>
      </c>
      <c r="H21" s="41">
        <v>0</v>
      </c>
      <c r="I21" s="41">
        <v>1.5</v>
      </c>
      <c r="J21" s="41">
        <v>0.75</v>
      </c>
      <c r="K21" s="41">
        <v>0</v>
      </c>
      <c r="L21" s="41">
        <v>0.5</v>
      </c>
      <c r="M21" s="41">
        <v>0.5</v>
      </c>
    </row>
    <row r="22" spans="1:27" x14ac:dyDescent="0.2">
      <c r="A22" s="13" t="s">
        <v>74</v>
      </c>
      <c r="B22" s="13" t="s">
        <v>75</v>
      </c>
      <c r="C22" s="13">
        <v>19026</v>
      </c>
      <c r="D22" s="19">
        <f>IF(SUM(Grades!$E22:$AA22)/SUM($E$3:$AA$3) &lt;&gt; 0, SUM(Grades!$E22:$AA22)/SUM($E$3:$AA$3), "")</f>
        <v>0.77500000000000002</v>
      </c>
      <c r="E22" s="42">
        <v>2.5</v>
      </c>
      <c r="F22" s="42">
        <v>1.25</v>
      </c>
      <c r="G22" s="42">
        <v>0.5</v>
      </c>
      <c r="H22" s="42">
        <v>0.5</v>
      </c>
      <c r="I22" s="42">
        <v>1.5</v>
      </c>
      <c r="J22" s="42">
        <v>1</v>
      </c>
      <c r="K22" s="42">
        <v>0.5</v>
      </c>
      <c r="L22" s="42">
        <v>0</v>
      </c>
      <c r="M22" s="42">
        <v>0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27" x14ac:dyDescent="0.2">
      <c r="A23" t="s">
        <v>76</v>
      </c>
      <c r="B23" t="s">
        <v>77</v>
      </c>
      <c r="C23">
        <v>18880</v>
      </c>
      <c r="D23" s="18">
        <f>IF(SUM(Grades!$E23:$AA23)/SUM($E$3:$AA$3) &lt;&gt; 0, SUM(Grades!$E23:$AA23)/SUM($E$3:$AA$3), "")</f>
        <v>0.375</v>
      </c>
      <c r="E23" s="41">
        <v>2</v>
      </c>
      <c r="F23" s="41">
        <v>0.5</v>
      </c>
      <c r="G23" s="41">
        <v>0.5</v>
      </c>
      <c r="H23" s="41">
        <v>0.75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</row>
    <row r="24" spans="1:27" x14ac:dyDescent="0.2">
      <c r="A24" s="13" t="s">
        <v>78</v>
      </c>
      <c r="B24" s="13" t="s">
        <v>79</v>
      </c>
      <c r="C24" s="13">
        <v>19935</v>
      </c>
      <c r="D24" s="19">
        <f>IF(SUM(Grades!$E24:$AA24)/SUM($E$3:$AA$3) &lt;&gt; 0, SUM(Grades!$E24:$AA24)/SUM($E$3:$AA$3), "")</f>
        <v>0.83500000000000019</v>
      </c>
      <c r="E24" s="42">
        <v>2.5</v>
      </c>
      <c r="F24" s="42">
        <v>1.25</v>
      </c>
      <c r="G24" s="42">
        <v>0.5</v>
      </c>
      <c r="H24" s="42">
        <v>0.75</v>
      </c>
      <c r="I24" s="42">
        <v>1.5</v>
      </c>
      <c r="J24" s="42">
        <v>0.75</v>
      </c>
      <c r="K24" s="42">
        <v>0.5</v>
      </c>
      <c r="L24" s="42">
        <v>0.3</v>
      </c>
      <c r="M24" s="42">
        <v>0.3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1:27" x14ac:dyDescent="0.2">
      <c r="A25" t="s">
        <v>80</v>
      </c>
      <c r="B25" t="s">
        <v>81</v>
      </c>
      <c r="C25">
        <v>18845</v>
      </c>
      <c r="D25" s="18">
        <f>IF(SUM(Grades!$E25:$AA25)/SUM($E$3:$AA$3) &lt;&gt; 0, SUM(Grades!$E25:$AA25)/SUM($E$3:$AA$3), "")</f>
        <v>0.72499999999999998</v>
      </c>
      <c r="E25" s="41">
        <v>2.5</v>
      </c>
      <c r="F25" s="41">
        <v>1.5</v>
      </c>
      <c r="G25" s="41">
        <v>0.5</v>
      </c>
      <c r="H25" s="41">
        <v>0.25</v>
      </c>
      <c r="I25" s="41">
        <v>1.5</v>
      </c>
      <c r="J25" s="41">
        <v>1</v>
      </c>
      <c r="K25" s="41">
        <v>0</v>
      </c>
      <c r="L25" s="41">
        <v>0</v>
      </c>
      <c r="M25" s="41">
        <v>0</v>
      </c>
    </row>
    <row r="26" spans="1:27" x14ac:dyDescent="0.2">
      <c r="A26" s="13" t="s">
        <v>82</v>
      </c>
      <c r="B26" s="13" t="s">
        <v>40</v>
      </c>
      <c r="C26" s="13">
        <v>19127</v>
      </c>
      <c r="D26" s="47">
        <v>0</v>
      </c>
      <c r="E26" s="42">
        <v>0</v>
      </c>
      <c r="F26" s="42">
        <v>0</v>
      </c>
      <c r="G26" s="42">
        <v>0</v>
      </c>
      <c r="H26" s="42">
        <v>0</v>
      </c>
      <c r="I26" s="42">
        <v>0</v>
      </c>
      <c r="J26" s="42">
        <v>0</v>
      </c>
      <c r="K26" s="42">
        <v>0</v>
      </c>
      <c r="L26" s="42">
        <v>0</v>
      </c>
      <c r="M26" s="42">
        <v>0</v>
      </c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1:27" x14ac:dyDescent="0.2">
      <c r="A27" t="s">
        <v>83</v>
      </c>
      <c r="B27" t="s">
        <v>84</v>
      </c>
      <c r="C27">
        <v>18726</v>
      </c>
      <c r="D27" s="48">
        <v>0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41">
        <v>0</v>
      </c>
      <c r="M27" s="41">
        <v>0</v>
      </c>
    </row>
    <row r="28" spans="1:27" x14ac:dyDescent="0.2">
      <c r="A28" s="13" t="s">
        <v>85</v>
      </c>
      <c r="B28" s="13" t="s">
        <v>86</v>
      </c>
      <c r="C28" s="13">
        <v>19303</v>
      </c>
      <c r="D28" s="19">
        <f>IF(SUM(Grades!$E28:$AA28)/SUM($E$3:$AA$3) &lt;&gt; 0, SUM(Grades!$E28:$AA28)/SUM($E$3:$AA$3), "")</f>
        <v>0.67500000000000004</v>
      </c>
      <c r="E28" s="42">
        <v>2</v>
      </c>
      <c r="F28" s="42">
        <v>1.5</v>
      </c>
      <c r="G28" s="42">
        <v>0.5</v>
      </c>
      <c r="H28" s="42">
        <v>0.25</v>
      </c>
      <c r="I28" s="42">
        <v>1.5</v>
      </c>
      <c r="J28" s="42">
        <v>0.75</v>
      </c>
      <c r="K28" s="42">
        <v>0.25</v>
      </c>
      <c r="L28" s="42">
        <v>0</v>
      </c>
      <c r="M28" s="42">
        <v>0</v>
      </c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27" x14ac:dyDescent="0.2">
      <c r="A29" t="s">
        <v>87</v>
      </c>
      <c r="B29" t="s">
        <v>88</v>
      </c>
      <c r="C29">
        <v>20088</v>
      </c>
      <c r="D29" s="18">
        <f>IF(SUM(Grades!$E29:$AA29)/SUM($E$3:$AA$3) &lt;&gt; 0, SUM(Grades!$E29:$AA29)/SUM($E$3:$AA$3), "")</f>
        <v>0.5</v>
      </c>
      <c r="E29" s="41">
        <v>1.25</v>
      </c>
      <c r="F29" s="41">
        <v>1.5</v>
      </c>
      <c r="G29" s="41">
        <v>0.4</v>
      </c>
      <c r="H29" s="41">
        <v>0.1</v>
      </c>
      <c r="I29" s="41">
        <v>1.5</v>
      </c>
      <c r="J29" s="41">
        <v>0.25</v>
      </c>
      <c r="K29" s="41">
        <v>0</v>
      </c>
      <c r="L29" s="41">
        <v>0</v>
      </c>
      <c r="M29" s="41">
        <v>0</v>
      </c>
    </row>
    <row r="30" spans="1:27" x14ac:dyDescent="0.2">
      <c r="A30" s="13" t="s">
        <v>89</v>
      </c>
      <c r="B30" s="13" t="s">
        <v>39</v>
      </c>
      <c r="C30" s="13">
        <v>18736</v>
      </c>
      <c r="D30" s="19">
        <f>IF(SUM(Grades!$E30:$AA30)/SUM($E$3:$AA$3) &lt;&gt; 0, SUM(Grades!$E30:$AA30)/SUM($E$3:$AA$3), "")</f>
        <v>0.75</v>
      </c>
      <c r="E30" s="42">
        <v>2.5</v>
      </c>
      <c r="F30" s="42">
        <v>1.5</v>
      </c>
      <c r="G30" s="42">
        <v>0.5</v>
      </c>
      <c r="H30" s="42">
        <v>1</v>
      </c>
      <c r="I30" s="42" t="s">
        <v>120</v>
      </c>
      <c r="J30" s="42">
        <v>0.75</v>
      </c>
      <c r="K30" s="42">
        <v>0.5</v>
      </c>
      <c r="L30" s="42">
        <v>0.5</v>
      </c>
      <c r="M30" s="42">
        <v>0.25</v>
      </c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27" x14ac:dyDescent="0.2">
      <c r="A31" t="s">
        <v>90</v>
      </c>
      <c r="B31" t="s">
        <v>91</v>
      </c>
      <c r="C31">
        <v>18707</v>
      </c>
      <c r="D31" s="18">
        <f>IF(SUM(Grades!$E31:$AA31)/SUM($E$3:$AA$3) &lt;&gt; 0, SUM(Grades!$E31:$AA31)/SUM($E$3:$AA$3), "")</f>
        <v>0.68</v>
      </c>
      <c r="E31" s="41">
        <v>2.5</v>
      </c>
      <c r="F31" s="41">
        <v>1.5</v>
      </c>
      <c r="G31" s="41">
        <v>0.5</v>
      </c>
      <c r="H31" s="41">
        <v>0</v>
      </c>
      <c r="I31" s="41">
        <v>1.5</v>
      </c>
      <c r="J31" s="41">
        <v>0.5</v>
      </c>
      <c r="K31" s="41">
        <v>0</v>
      </c>
      <c r="L31" s="41">
        <v>0.15</v>
      </c>
      <c r="M31" s="41">
        <v>0.15</v>
      </c>
    </row>
    <row r="32" spans="1:27" x14ac:dyDescent="0.2">
      <c r="A32" s="13" t="s">
        <v>92</v>
      </c>
      <c r="B32" s="13" t="s">
        <v>93</v>
      </c>
      <c r="C32" s="13">
        <v>18705</v>
      </c>
      <c r="D32" s="19">
        <f>IF(SUM(Grades!$E32:$AA32)/SUM($E$3:$AA$3) &lt;&gt; 0, SUM(Grades!$E32:$AA32)/SUM($E$3:$AA$3), "")</f>
        <v>0.8</v>
      </c>
      <c r="E32" s="42">
        <v>2.5</v>
      </c>
      <c r="F32" s="42">
        <v>1.5</v>
      </c>
      <c r="G32" s="42">
        <v>0.5</v>
      </c>
      <c r="H32" s="42">
        <v>1</v>
      </c>
      <c r="I32" s="42">
        <v>1.5</v>
      </c>
      <c r="J32" s="42">
        <v>1</v>
      </c>
      <c r="K32" s="42">
        <v>0</v>
      </c>
      <c r="L32" s="42">
        <v>0</v>
      </c>
      <c r="M32" s="42">
        <v>0</v>
      </c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2">
      <c r="A33" t="s">
        <v>94</v>
      </c>
      <c r="B33" t="s">
        <v>37</v>
      </c>
      <c r="C33">
        <v>20960</v>
      </c>
      <c r="D33" s="18">
        <f>IF(SUM(Grades!$E33:$AA33)/SUM($E$3:$AA$3) &lt;&gt; 0, SUM(Grades!$E33:$AA33)/SUM($E$3:$AA$3), "")</f>
        <v>1</v>
      </c>
      <c r="E33" s="41">
        <v>2.5</v>
      </c>
      <c r="F33" s="41">
        <v>1.5</v>
      </c>
      <c r="G33" s="41">
        <v>0.5</v>
      </c>
      <c r="H33" s="41">
        <v>1</v>
      </c>
      <c r="I33" s="41">
        <v>1.5</v>
      </c>
      <c r="J33" s="41">
        <v>1</v>
      </c>
      <c r="K33" s="41">
        <v>0.5</v>
      </c>
      <c r="L33" s="41">
        <v>0.75</v>
      </c>
      <c r="M33" s="41">
        <v>0.75</v>
      </c>
    </row>
    <row r="34" spans="1:27" x14ac:dyDescent="0.2">
      <c r="A34" s="13" t="s">
        <v>95</v>
      </c>
      <c r="B34" s="13" t="s">
        <v>96</v>
      </c>
      <c r="C34" s="13">
        <v>18765</v>
      </c>
      <c r="D34" s="19">
        <f>IF(SUM(Grades!$E34:$AA34)/SUM($E$3:$AA$3) &lt;&gt; 0, SUM(Grades!$E34:$AA34)/SUM($E$3:$AA$3), "")</f>
        <v>0.65</v>
      </c>
      <c r="E34" s="42">
        <v>2</v>
      </c>
      <c r="F34" s="42">
        <v>1</v>
      </c>
      <c r="G34" s="42">
        <v>0.5</v>
      </c>
      <c r="H34" s="42">
        <v>1</v>
      </c>
      <c r="I34" s="42">
        <v>1.5</v>
      </c>
      <c r="J34" s="42">
        <v>0.5</v>
      </c>
      <c r="K34" s="42">
        <v>0</v>
      </c>
      <c r="L34" s="42">
        <v>0</v>
      </c>
      <c r="M34" s="42">
        <v>0</v>
      </c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1:27" x14ac:dyDescent="0.2">
      <c r="A35" t="s">
        <v>97</v>
      </c>
      <c r="B35" t="s">
        <v>98</v>
      </c>
      <c r="C35">
        <v>20069</v>
      </c>
      <c r="D35" s="18">
        <f>IF(SUM(Grades!$E35:$AA35)/SUM($E$3:$AA$3) &lt;&gt; 0, SUM(Grades!$E35:$AA35)/SUM($E$3:$AA$3), "")</f>
        <v>0.15</v>
      </c>
      <c r="E35" s="41">
        <v>0</v>
      </c>
      <c r="F35" s="41">
        <v>0</v>
      </c>
      <c r="G35" s="41">
        <v>0</v>
      </c>
      <c r="H35" s="41">
        <v>0</v>
      </c>
      <c r="I35" s="41">
        <v>1.5</v>
      </c>
      <c r="J35" s="41">
        <v>0</v>
      </c>
      <c r="K35" s="41">
        <v>0</v>
      </c>
      <c r="L35" s="41">
        <v>0</v>
      </c>
      <c r="M35" s="41">
        <v>0</v>
      </c>
    </row>
    <row r="36" spans="1:27" x14ac:dyDescent="0.2">
      <c r="A36" s="13" t="s">
        <v>99</v>
      </c>
      <c r="B36" s="13" t="s">
        <v>100</v>
      </c>
      <c r="C36" s="13">
        <v>18640</v>
      </c>
      <c r="D36" s="19">
        <f>IF(SUM(Grades!$E36:$AA36)/SUM($E$3:$AA$3) &lt;&gt; 0, SUM(Grades!$E36:$AA36)/SUM($E$3:$AA$3), "")</f>
        <v>0.69000000000000006</v>
      </c>
      <c r="E36" s="42">
        <v>2.5</v>
      </c>
      <c r="F36" s="42">
        <v>1.5</v>
      </c>
      <c r="G36" s="42">
        <v>0.2</v>
      </c>
      <c r="H36" s="42">
        <v>0.2</v>
      </c>
      <c r="I36" s="42">
        <v>1.5</v>
      </c>
      <c r="J36" s="42">
        <v>1</v>
      </c>
      <c r="K36" s="42">
        <v>0</v>
      </c>
      <c r="L36" s="42">
        <v>0</v>
      </c>
      <c r="M36" s="42">
        <v>0</v>
      </c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7" x14ac:dyDescent="0.2">
      <c r="A37" t="s">
        <v>101</v>
      </c>
      <c r="B37" t="s">
        <v>38</v>
      </c>
      <c r="C37">
        <v>19224</v>
      </c>
      <c r="D37" s="18">
        <f>IF(SUM(Grades!$E37:$AA37)/SUM($E$3:$AA$3) &lt;&gt; 0, SUM(Grades!$E37:$AA37)/SUM($E$3:$AA$3), "")</f>
        <v>0.31</v>
      </c>
      <c r="E37" s="41">
        <v>2</v>
      </c>
      <c r="F37" s="41">
        <v>0</v>
      </c>
      <c r="G37" s="41">
        <v>0</v>
      </c>
      <c r="H37" s="41">
        <v>0.1</v>
      </c>
      <c r="I37" s="41">
        <v>1</v>
      </c>
      <c r="J37" s="41">
        <v>0</v>
      </c>
      <c r="K37" s="41">
        <v>0</v>
      </c>
      <c r="L37" s="41">
        <v>0</v>
      </c>
      <c r="M37" s="41">
        <v>0</v>
      </c>
    </row>
    <row r="38" spans="1:27" x14ac:dyDescent="0.2">
      <c r="A38" s="13" t="s">
        <v>102</v>
      </c>
      <c r="B38" s="13" t="s">
        <v>103</v>
      </c>
      <c r="C38" s="13">
        <v>18852</v>
      </c>
      <c r="D38" s="19">
        <f>IF(SUM(Grades!$E38:$AA38)/SUM($E$3:$AA$3) &lt;&gt; 0, SUM(Grades!$E38:$AA38)/SUM($E$3:$AA$3), "")</f>
        <v>0.85</v>
      </c>
      <c r="E38" s="42">
        <v>2.5</v>
      </c>
      <c r="F38" s="42">
        <v>1.5</v>
      </c>
      <c r="G38" s="42">
        <v>0.5</v>
      </c>
      <c r="H38" s="42">
        <v>1</v>
      </c>
      <c r="I38" s="42">
        <v>1.5</v>
      </c>
      <c r="J38" s="42">
        <v>1</v>
      </c>
      <c r="K38" s="42">
        <v>0.5</v>
      </c>
      <c r="L38" s="42">
        <v>0</v>
      </c>
      <c r="M38" s="42">
        <v>0</v>
      </c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2">
      <c r="A39" t="s">
        <v>104</v>
      </c>
      <c r="B39" t="s">
        <v>105</v>
      </c>
      <c r="C39">
        <v>18608</v>
      </c>
      <c r="D39" s="18">
        <f>IF(SUM(Grades!$E39:$AA39)/SUM($E$3:$AA$3) &lt;&gt; 0, SUM(Grades!$E39:$AA39)/SUM($E$3:$AA$3), "")</f>
        <v>0.67500000000000004</v>
      </c>
      <c r="E39" s="41">
        <v>2</v>
      </c>
      <c r="F39" s="41">
        <v>1.5</v>
      </c>
      <c r="G39" s="41">
        <v>0.5</v>
      </c>
      <c r="H39" s="41">
        <v>0.9</v>
      </c>
      <c r="I39" s="41">
        <v>1.5</v>
      </c>
      <c r="J39" s="41"/>
      <c r="K39" s="41">
        <v>0.35</v>
      </c>
      <c r="L39" s="41">
        <v>0</v>
      </c>
      <c r="M39" s="41">
        <v>0</v>
      </c>
    </row>
    <row r="40" spans="1:27" x14ac:dyDescent="0.2">
      <c r="A40" s="13" t="s">
        <v>106</v>
      </c>
      <c r="B40" s="13" t="s">
        <v>107</v>
      </c>
      <c r="C40" s="13">
        <v>20919</v>
      </c>
      <c r="D40" s="19">
        <f>IF(SUM(Grades!$E40:$AA40)/SUM($E$3:$AA$3) &lt;&gt; 0, SUM(Grades!$E40:$AA40)/SUM($E$3:$AA$3), "")</f>
        <v>0.77500000000000002</v>
      </c>
      <c r="E40" s="42">
        <v>2</v>
      </c>
      <c r="F40" s="42">
        <v>1.5</v>
      </c>
      <c r="G40" s="42">
        <v>0.5</v>
      </c>
      <c r="H40" s="42">
        <v>1</v>
      </c>
      <c r="I40" s="42">
        <v>1.5</v>
      </c>
      <c r="J40" s="42">
        <v>0.75</v>
      </c>
      <c r="K40" s="42">
        <v>0.5</v>
      </c>
      <c r="L40" s="42">
        <v>0</v>
      </c>
      <c r="M40" s="42">
        <v>0</v>
      </c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2">
      <c r="A41" t="s">
        <v>108</v>
      </c>
      <c r="B41" t="s">
        <v>109</v>
      </c>
      <c r="C41">
        <v>20469</v>
      </c>
      <c r="D41" s="18">
        <f>IF(SUM(Grades!$E41:$AA41)/SUM($E$3:$AA$3) &lt;&gt; 0, SUM(Grades!$E41:$AA41)/SUM($E$3:$AA$3), "")</f>
        <v>0.63500000000000001</v>
      </c>
      <c r="E41" s="41">
        <v>2</v>
      </c>
      <c r="F41" s="41">
        <v>1</v>
      </c>
      <c r="G41" s="41">
        <v>0.5</v>
      </c>
      <c r="H41" s="41">
        <v>0.75</v>
      </c>
      <c r="I41" s="41">
        <v>1.5</v>
      </c>
      <c r="J41" s="41">
        <v>0.5</v>
      </c>
      <c r="K41" s="41">
        <v>0.1</v>
      </c>
      <c r="L41" s="41">
        <v>0</v>
      </c>
      <c r="M41" s="41">
        <v>0</v>
      </c>
    </row>
    <row r="42" spans="1:27" x14ac:dyDescent="0.2">
      <c r="A42" s="13" t="s">
        <v>110</v>
      </c>
      <c r="B42" s="13" t="s">
        <v>111</v>
      </c>
      <c r="C42" s="13">
        <v>19341</v>
      </c>
      <c r="D42" s="19">
        <f>IF(SUM(Grades!$E42:$AA42)/SUM($E$3:$AA$3) &lt;&gt; 0, SUM(Grades!$E42:$AA42)/SUM($E$3:$AA$3), "")</f>
        <v>0.70499999999999996</v>
      </c>
      <c r="E42" s="42">
        <v>2</v>
      </c>
      <c r="F42" s="42">
        <v>1</v>
      </c>
      <c r="G42" s="42">
        <v>0.5</v>
      </c>
      <c r="H42" s="42">
        <v>1</v>
      </c>
      <c r="I42" s="42">
        <v>1.5</v>
      </c>
      <c r="J42" s="42">
        <v>0.5</v>
      </c>
      <c r="K42" s="42">
        <v>0.3</v>
      </c>
      <c r="L42" s="42">
        <v>0</v>
      </c>
      <c r="M42" s="42">
        <v>0.25</v>
      </c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7" x14ac:dyDescent="0.2">
      <c r="A43" t="s">
        <v>112</v>
      </c>
      <c r="B43" t="s">
        <v>113</v>
      </c>
      <c r="C43">
        <v>20292</v>
      </c>
      <c r="D43" s="18">
        <f>IF(SUM(Grades!$E43:$AA43)/SUM($E$3:$AA$3) &lt;&gt; 0, SUM(Grades!$E43:$AA43)/SUM($E$3:$AA$3), "")</f>
        <v>0.55999999999999994</v>
      </c>
      <c r="E43" s="41">
        <v>2.25</v>
      </c>
      <c r="F43" s="41">
        <v>1</v>
      </c>
      <c r="G43" s="41">
        <v>0.5</v>
      </c>
      <c r="H43" s="41">
        <v>0.25</v>
      </c>
      <c r="I43" s="41">
        <v>1.5</v>
      </c>
      <c r="J43" s="41">
        <v>0.1</v>
      </c>
      <c r="K43" s="41">
        <v>0</v>
      </c>
      <c r="L43" s="41">
        <v>0</v>
      </c>
      <c r="M43" s="41">
        <v>0</v>
      </c>
    </row>
    <row r="44" spans="1:27" x14ac:dyDescent="0.2">
      <c r="A44" s="13" t="s">
        <v>114</v>
      </c>
      <c r="B44" s="13" t="s">
        <v>115</v>
      </c>
      <c r="C44" s="13">
        <v>19878</v>
      </c>
      <c r="D44" s="19">
        <f>IF(SUM(Grades!$E44:$AA44)/SUM($E$3:$AA$3) &lt;&gt; 0, SUM(Grades!$E44:$AA44)/SUM($E$3:$AA$3), "")</f>
        <v>0.16499999999999998</v>
      </c>
      <c r="E44" s="42">
        <v>1.5</v>
      </c>
      <c r="F44" s="42">
        <v>0</v>
      </c>
      <c r="G44" s="42">
        <v>0</v>
      </c>
      <c r="H44" s="42">
        <v>0.15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1:27" x14ac:dyDescent="0.2">
      <c r="A45" t="s">
        <v>116</v>
      </c>
      <c r="B45" t="s">
        <v>117</v>
      </c>
      <c r="C45">
        <v>20443</v>
      </c>
      <c r="D45" s="18">
        <f>IF(SUM(Grades!$E45:$AA45)/SUM($E$3:$AA$3) &lt;&gt; 0, SUM(Grades!$E45:$AA45)/SUM($E$3:$AA$3), "")</f>
        <v>0.65999999999999992</v>
      </c>
      <c r="E45" s="41">
        <v>2.25</v>
      </c>
      <c r="F45" s="41">
        <v>1.5</v>
      </c>
      <c r="G45" s="41">
        <v>0.1</v>
      </c>
      <c r="H45" s="41">
        <v>0.25</v>
      </c>
      <c r="I45" s="41">
        <v>1.5</v>
      </c>
      <c r="J45" s="41">
        <v>0.25</v>
      </c>
      <c r="K45" s="41">
        <v>0</v>
      </c>
      <c r="L45" s="41">
        <v>0.75</v>
      </c>
      <c r="M45" s="41">
        <v>0</v>
      </c>
    </row>
    <row r="46" spans="1:27" x14ac:dyDescent="0.2">
      <c r="A46" s="13" t="s">
        <v>118</v>
      </c>
      <c r="B46" s="13" t="s">
        <v>119</v>
      </c>
      <c r="C46" s="13">
        <v>19968</v>
      </c>
      <c r="D46" s="19">
        <f>IF(SUM(Grades!$E46:$AA46)/SUM($E$3:$AA$3) &lt;&gt; 0, SUM(Grades!$E46:$AA46)/SUM($E$3:$AA$3), "")</f>
        <v>0.22500000000000001</v>
      </c>
      <c r="E46" s="42">
        <v>1</v>
      </c>
      <c r="F46" s="42">
        <v>0</v>
      </c>
      <c r="G46" s="42">
        <v>0.1</v>
      </c>
      <c r="H46" s="42">
        <v>0.15</v>
      </c>
      <c r="I46" s="42">
        <v>0.75</v>
      </c>
      <c r="J46" s="42">
        <v>0.25</v>
      </c>
      <c r="K46" s="42">
        <v>0</v>
      </c>
      <c r="L46" s="42">
        <v>0</v>
      </c>
      <c r="M46" s="42">
        <v>0</v>
      </c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1:27" x14ac:dyDescent="0.2">
      <c r="D47" s="18" t="str">
        <f>IF(SUM(Grades!$E47:$AA47)/SUM($E$3:$AA$3) &lt;&gt; 0, SUM(Grades!$E47:$AA47)/SUM($E$3:$AA$3), "")</f>
        <v/>
      </c>
      <c r="E47" s="41"/>
      <c r="F47" s="41"/>
      <c r="G47" s="41"/>
      <c r="H47" s="41"/>
      <c r="I47" s="41"/>
      <c r="J47" s="41"/>
      <c r="K47" s="41"/>
      <c r="L47" s="41"/>
      <c r="M47" s="41"/>
    </row>
    <row r="48" spans="1:27" x14ac:dyDescent="0.2">
      <c r="A48" s="13"/>
      <c r="B48" s="13"/>
      <c r="C48" s="13"/>
      <c r="D48" s="19" t="str">
        <f>IF(SUM(Grades!$E48:$AA48)/SUM($E$3:$AA$3) &lt;&gt; 0, SUM(Grades!$E48:$AA48)/SUM($E$3:$AA$3), "")</f>
        <v/>
      </c>
      <c r="E48" s="42"/>
      <c r="F48" s="42"/>
      <c r="G48" s="42"/>
      <c r="H48" s="42"/>
      <c r="I48" s="42"/>
      <c r="J48" s="42"/>
      <c r="K48" s="42"/>
      <c r="L48" s="42"/>
      <c r="M48" s="42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1:27" x14ac:dyDescent="0.2">
      <c r="D49" s="18" t="str">
        <f>IF(SUM(Grades!$E49:$AA49)/SUM($E$3:$AA$3) &lt;&gt; 0, SUM(Grades!$E49:$AA49)/SUM($E$3:$AA$3), "")</f>
        <v/>
      </c>
      <c r="E49" s="41"/>
      <c r="F49" s="41"/>
      <c r="G49" s="41"/>
      <c r="H49" s="41"/>
      <c r="I49" s="41"/>
      <c r="J49" s="41"/>
      <c r="K49" s="41"/>
      <c r="L49" s="41"/>
      <c r="M49" s="41"/>
    </row>
    <row r="50" spans="1:27" x14ac:dyDescent="0.2">
      <c r="A50" s="13"/>
      <c r="B50" s="13"/>
      <c r="C50" s="13"/>
      <c r="D50" s="19" t="str">
        <f>IF(SUM(Grades!$E50:$AA50)/SUM($E$3:$AA$3) &lt;&gt; 0, SUM(Grades!$E50:$AA50)/SUM($E$3:$AA$3), "")</f>
        <v/>
      </c>
      <c r="E50" s="42"/>
      <c r="F50" s="42"/>
      <c r="G50" s="42"/>
      <c r="H50" s="42"/>
      <c r="I50" s="42"/>
      <c r="J50" s="42"/>
      <c r="K50" s="42"/>
      <c r="L50" s="42"/>
      <c r="M50" s="42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1:27" x14ac:dyDescent="0.2">
      <c r="D51" s="18" t="str">
        <f>IF(SUM(Grades!$E51:$AA51)/SUM($E$3:$AA$3) &lt;&gt; 0, SUM(Grades!$E51:$AA51)/SUM($E$3:$AA$3), "")</f>
        <v/>
      </c>
      <c r="E51" s="41"/>
      <c r="F51" s="41"/>
      <c r="G51" s="41"/>
      <c r="H51" s="41"/>
      <c r="I51" s="41"/>
      <c r="J51" s="41"/>
      <c r="K51" s="41"/>
      <c r="L51" s="41"/>
      <c r="M51" s="41"/>
    </row>
    <row r="52" spans="1:27" x14ac:dyDescent="0.2">
      <c r="A52" s="13"/>
      <c r="B52" s="13"/>
      <c r="C52" s="13"/>
      <c r="D52" s="19" t="str">
        <f>IF(SUM(Grades!$E52:$AA52)/SUM($E$3:$AA$3) &lt;&gt; 0, SUM(Grades!$E52:$AA52)/SUM($E$3:$AA$3), "")</f>
        <v/>
      </c>
      <c r="E52" s="42"/>
      <c r="F52" s="42"/>
      <c r="G52" s="42"/>
      <c r="H52" s="42"/>
      <c r="I52" s="42"/>
      <c r="J52" s="42"/>
      <c r="K52" s="42"/>
      <c r="L52" s="42"/>
      <c r="M52" s="42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x14ac:dyDescent="0.2">
      <c r="D53" s="18" t="str">
        <f>IF(SUM(Grades!$E53:$AA53)/SUM($E$3:$AA$3) &lt;&gt; 0, SUM(Grades!$E53:$AA53)/SUM($E$3:$AA$3), "")</f>
        <v/>
      </c>
      <c r="E53" s="41"/>
      <c r="F53" s="41"/>
      <c r="G53" s="41"/>
      <c r="H53" s="41"/>
      <c r="I53" s="41"/>
      <c r="J53" s="41"/>
      <c r="K53" s="41"/>
      <c r="L53" s="41"/>
      <c r="M53" s="41"/>
    </row>
    <row r="54" spans="1:27" x14ac:dyDescent="0.2">
      <c r="A54" s="13"/>
      <c r="B54" s="13"/>
      <c r="C54" s="13"/>
      <c r="D54" s="19" t="str">
        <f>IF(SUM(Grades!$E54:$AA54)/SUM($E$3:$AA$3) &lt;&gt; 0, SUM(Grades!$E54:$AA54)/SUM($E$3:$AA$3), "")</f>
        <v/>
      </c>
      <c r="E54" s="42"/>
      <c r="F54" s="42"/>
      <c r="G54" s="42"/>
      <c r="H54" s="42"/>
      <c r="I54" s="42"/>
      <c r="J54" s="42"/>
      <c r="K54" s="42"/>
      <c r="L54" s="42"/>
      <c r="M54" s="42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x14ac:dyDescent="0.2">
      <c r="D55" s="18" t="str">
        <f>IF(SUM(Grades!$E55:$AA55)/SUM($E$3:$AA$3) &lt;&gt; 0, SUM(Grades!$E55:$AA55)/SUM($E$3:$AA$3), "")</f>
        <v/>
      </c>
      <c r="E55" s="41"/>
      <c r="F55" s="41"/>
      <c r="G55" s="41"/>
      <c r="H55" s="41"/>
      <c r="I55" s="41"/>
      <c r="J55" s="41"/>
      <c r="K55" s="41"/>
      <c r="L55" s="41"/>
      <c r="M55" s="41"/>
    </row>
    <row r="56" spans="1:27" x14ac:dyDescent="0.2">
      <c r="A56" s="13"/>
      <c r="B56" s="13"/>
      <c r="C56" s="13"/>
      <c r="D56" s="19" t="str">
        <f>IF(SUM(Grades!$E56:$AA56)/SUM($E$3:$AA$3) &lt;&gt; 0, SUM(Grades!$E56:$AA56)/SUM($E$3:$AA$3), "")</f>
        <v/>
      </c>
      <c r="E56" s="42"/>
      <c r="F56" s="42"/>
      <c r="G56" s="42"/>
      <c r="H56" s="42"/>
      <c r="I56" s="42"/>
      <c r="J56" s="42"/>
      <c r="K56" s="42"/>
      <c r="L56" s="42"/>
      <c r="M56" s="42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x14ac:dyDescent="0.2">
      <c r="D57" s="18" t="str">
        <f>IF(SUM(Grades!$E57:$AA57)/SUM($E$3:$AA$3) &lt;&gt; 0, SUM(Grades!$E57:$AA57)/SUM($E$3:$AA$3), "")</f>
        <v/>
      </c>
      <c r="E57" s="41"/>
      <c r="F57" s="41"/>
      <c r="G57" s="41"/>
      <c r="H57" s="41"/>
      <c r="I57" s="41"/>
      <c r="J57" s="41"/>
      <c r="K57" s="41"/>
      <c r="L57" s="41"/>
      <c r="M57" s="41"/>
    </row>
    <row r="58" spans="1:27" x14ac:dyDescent="0.2">
      <c r="A58" s="13"/>
      <c r="B58" s="13"/>
      <c r="C58" s="13"/>
      <c r="D58" s="19" t="str">
        <f>IF(SUM(Grades!$E58:$AA58)/SUM($E$3:$AA$3) &lt;&gt; 0, SUM(Grades!$E58:$AA58)/SUM($E$3:$AA$3), "")</f>
        <v/>
      </c>
      <c r="E58" s="42"/>
      <c r="F58" s="42"/>
      <c r="G58" s="42"/>
      <c r="H58" s="42"/>
      <c r="I58" s="42"/>
      <c r="J58" s="42"/>
      <c r="K58" s="42"/>
      <c r="L58" s="42"/>
      <c r="M58" s="42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x14ac:dyDescent="0.2">
      <c r="D59" s="18" t="str">
        <f>IF(SUM(Grades!$E59:$AA59)/SUM($E$3:$AA$3) &lt;&gt; 0, SUM(Grades!$E59:$AA59)/SUM($E$3:$AA$3), "")</f>
        <v/>
      </c>
      <c r="E59" s="41"/>
      <c r="F59" s="41"/>
      <c r="G59" s="41"/>
      <c r="H59" s="41"/>
      <c r="I59" s="41"/>
      <c r="J59" s="41"/>
      <c r="K59" s="41"/>
      <c r="L59" s="41"/>
      <c r="M59" s="41"/>
    </row>
    <row r="60" spans="1:27" x14ac:dyDescent="0.2">
      <c r="A60" s="13"/>
      <c r="B60" s="13"/>
      <c r="C60" s="13"/>
      <c r="D60" s="19" t="str">
        <f>IF(SUM(Grades!$E60:$AA60)/SUM($E$3:$AA$3) &lt;&gt; 0, SUM(Grades!$E60:$AA60)/SUM($E$3:$AA$3), "")</f>
        <v/>
      </c>
      <c r="E60" s="42"/>
      <c r="F60" s="42"/>
      <c r="G60" s="42"/>
      <c r="H60" s="42"/>
      <c r="I60" s="42"/>
      <c r="J60" s="42"/>
      <c r="K60" s="42"/>
      <c r="L60" s="42"/>
      <c r="M60" s="42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x14ac:dyDescent="0.2">
      <c r="D61" s="18" t="str">
        <f>IF(SUM(Grades!$E61:$AA61)/SUM($E$3:$AA$3) &lt;&gt; 0, SUM(Grades!$E61:$AA61)/SUM($E$3:$AA$3), "")</f>
        <v/>
      </c>
      <c r="E61" s="41"/>
      <c r="F61" s="41"/>
      <c r="G61" s="41"/>
      <c r="H61" s="41"/>
      <c r="I61" s="41"/>
      <c r="J61" s="41"/>
      <c r="K61" s="41"/>
      <c r="L61" s="41"/>
      <c r="M61" s="41"/>
    </row>
    <row r="62" spans="1:27" x14ac:dyDescent="0.2">
      <c r="A62" s="13"/>
      <c r="B62" s="13"/>
      <c r="C62" s="13"/>
      <c r="D62" s="19" t="str">
        <f>IF(SUM(Grades!$E62:$AA62)/SUM($E$3:$AA$3) &lt;&gt; 0, SUM(Grades!$E62:$AA62)/SUM($E$3:$AA$3), "")</f>
        <v/>
      </c>
      <c r="E62" s="42"/>
      <c r="F62" s="42"/>
      <c r="G62" s="42"/>
      <c r="H62" s="42"/>
      <c r="I62" s="42"/>
      <c r="J62" s="42"/>
      <c r="K62" s="42"/>
      <c r="L62" s="42"/>
      <c r="M62" s="42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x14ac:dyDescent="0.2">
      <c r="D63" s="18" t="str">
        <f>IF(SUM(Grades!$E63:$AA63)/SUM($E$3:$AA$3) &lt;&gt; 0, SUM(Grades!$E63:$AA63)/SUM($E$3:$AA$3), "")</f>
        <v/>
      </c>
      <c r="E63" s="41"/>
      <c r="F63" s="41"/>
      <c r="G63" s="41"/>
      <c r="H63" s="41"/>
      <c r="I63" s="41"/>
      <c r="J63" s="41"/>
      <c r="K63" s="41"/>
      <c r="L63" s="41"/>
      <c r="M63" s="41"/>
    </row>
    <row r="64" spans="1:27" x14ac:dyDescent="0.2">
      <c r="A64" s="13"/>
      <c r="B64" s="13"/>
      <c r="C64" s="13"/>
      <c r="D64" s="19" t="str">
        <f>IF(SUM(Grades!$E64:$AA64)/SUM($E$3:$AA$3) &lt;&gt; 0, SUM(Grades!$E64:$AA64)/SUM($E$3:$AA$3), "")</f>
        <v/>
      </c>
      <c r="E64" s="42"/>
      <c r="F64" s="42"/>
      <c r="G64" s="42"/>
      <c r="H64" s="42"/>
      <c r="I64" s="42"/>
      <c r="J64" s="42"/>
      <c r="K64" s="42"/>
      <c r="L64" s="42"/>
      <c r="M64" s="42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x14ac:dyDescent="0.2">
      <c r="D65" s="18" t="str">
        <f>IF(SUM(Grades!$E65:$AA65)/SUM($E$3:$AA$3) &lt;&gt; 0, SUM(Grades!$E65:$AA65)/SUM($E$3:$AA$3), "")</f>
        <v/>
      </c>
      <c r="E65" s="41"/>
      <c r="F65" s="41"/>
      <c r="G65" s="41"/>
      <c r="H65" s="41"/>
      <c r="I65" s="41"/>
      <c r="J65" s="41"/>
      <c r="K65" s="41"/>
      <c r="L65" s="41"/>
      <c r="M65" s="41"/>
    </row>
    <row r="66" spans="1:27" x14ac:dyDescent="0.2">
      <c r="A66" s="13"/>
      <c r="B66" s="13"/>
      <c r="C66" s="13"/>
      <c r="D66" s="19" t="str">
        <f>IF(SUM(Grades!$E66:$AA66)/SUM($E$3:$AA$3) &lt;&gt; 0, SUM(Grades!$E66:$AA66)/SUM($E$3:$AA$3), "")</f>
        <v/>
      </c>
      <c r="E66" s="43"/>
      <c r="F66" s="43"/>
      <c r="G66" s="43"/>
      <c r="H66" s="43"/>
      <c r="I66" s="43"/>
      <c r="J66" s="43"/>
      <c r="K66" s="43"/>
      <c r="L66" s="43"/>
      <c r="M66" s="4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x14ac:dyDescent="0.2">
      <c r="D67" s="18" t="str">
        <f>IF(SUM(Grades!$E67:$AA67)/SUM($E$3:$AA$3) &lt;&gt; 0, SUM(Grades!$E67:$AA67)/SUM($E$3:$AA$3), "")</f>
        <v/>
      </c>
    </row>
    <row r="68" spans="1:27" x14ac:dyDescent="0.2">
      <c r="A68" s="13"/>
      <c r="B68" s="13"/>
      <c r="C68" s="13"/>
      <c r="D68" s="19" t="str">
        <f>IF(SUM(Grades!$E68:$AA68)/SUM($E$3:$AA$3) &lt;&gt; 0, SUM(Grades!$E68:$AA68)/SUM($E$3:$AA$3), "")</f>
        <v/>
      </c>
      <c r="E68" s="43"/>
      <c r="F68" s="43"/>
      <c r="G68" s="43"/>
      <c r="H68" s="43"/>
      <c r="I68" s="43"/>
      <c r="J68" s="43"/>
      <c r="K68" s="43"/>
      <c r="L68" s="43"/>
      <c r="M68" s="4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1:27" x14ac:dyDescent="0.2">
      <c r="D69" s="18" t="str">
        <f>IF(SUM(Grades!$E69:$AA69)/SUM($E$3:$AA$3) &lt;&gt; 0, SUM(Grades!$E69:$AA69)/SUM($E$3:$AA$3), "")</f>
        <v/>
      </c>
    </row>
    <row r="70" spans="1:27" x14ac:dyDescent="0.2">
      <c r="A70" s="13"/>
      <c r="B70" s="13"/>
      <c r="C70" s="13"/>
      <c r="D70" s="19" t="str">
        <f>IF(SUM(Grades!$E70:$AA70)/SUM($E$3:$AA$3) &lt;&gt; 0, SUM(Grades!$E70:$AA70)/SUM($E$3:$AA$3), "")</f>
        <v/>
      </c>
      <c r="E70" s="43"/>
      <c r="F70" s="43"/>
      <c r="G70" s="43"/>
      <c r="H70" s="43"/>
      <c r="I70" s="43"/>
      <c r="J70" s="43"/>
      <c r="K70" s="43"/>
      <c r="L70" s="43"/>
      <c r="M70" s="4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1:27" x14ac:dyDescent="0.2">
      <c r="D71" s="18" t="str">
        <f>IF(SUM(Grades!$E71:$AA71)/SUM($E$3:$AA$3) &lt;&gt; 0, SUM(Grades!$E71:$AA71)/SUM($E$3:$AA$3), "")</f>
        <v/>
      </c>
    </row>
    <row r="72" spans="1:27" x14ac:dyDescent="0.2">
      <c r="A72" s="13"/>
      <c r="B72" s="13"/>
      <c r="C72" s="13"/>
      <c r="D72" s="19" t="str">
        <f>IF(SUM(Grades!$E72:$AA72)/SUM($E$3:$AA$3) &lt;&gt; 0, SUM(Grades!$E72:$AA72)/SUM($E$3:$AA$3), "")</f>
        <v/>
      </c>
      <c r="E72" s="43"/>
      <c r="F72" s="43"/>
      <c r="G72" s="43"/>
      <c r="H72" s="43"/>
      <c r="I72" s="43"/>
      <c r="J72" s="43"/>
      <c r="K72" s="43"/>
      <c r="L72" s="43"/>
      <c r="M72" s="4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1:27" x14ac:dyDescent="0.2">
      <c r="D73" s="18" t="str">
        <f>IF(SUM(Grades!$E73:$AA73)/SUM($E$3:$AA$3) &lt;&gt; 0, SUM(Grades!$E73:$AA73)/SUM($E$3:$AA$3), "")</f>
        <v/>
      </c>
    </row>
    <row r="74" spans="1:27" x14ac:dyDescent="0.2">
      <c r="A74" s="13"/>
      <c r="B74" s="13"/>
      <c r="C74" s="13"/>
      <c r="D74" s="19" t="str">
        <f>IF(SUM(Grades!$E74:$AA74)/SUM($E$3:$AA$3) &lt;&gt; 0, SUM(Grades!$E74:$AA74)/SUM($E$3:$AA$3), "")</f>
        <v/>
      </c>
      <c r="E74" s="43"/>
      <c r="F74" s="43"/>
      <c r="G74" s="43"/>
      <c r="H74" s="43"/>
      <c r="I74" s="43"/>
      <c r="J74" s="43"/>
      <c r="K74" s="43"/>
      <c r="L74" s="43"/>
      <c r="M74" s="4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1:27" x14ac:dyDescent="0.2">
      <c r="D75" s="18" t="str">
        <f>IF(SUM(Grades!$E75:$AA75)/SUM($E$3:$AA$3) &lt;&gt; 0, SUM(Grades!$E75:$AA75)/SUM($E$3:$AA$3), "")</f>
        <v/>
      </c>
    </row>
    <row r="76" spans="1:27" x14ac:dyDescent="0.2">
      <c r="A76" s="13"/>
      <c r="B76" s="13"/>
      <c r="C76" s="13"/>
      <c r="D76" s="19" t="str">
        <f>IF(SUM(Grades!$E76:$AA76)/SUM($E$3:$AA$3) &lt;&gt; 0, SUM(Grades!$E76:$AA76)/SUM($E$3:$AA$3), "")</f>
        <v/>
      </c>
      <c r="E76" s="43"/>
      <c r="F76" s="43"/>
      <c r="G76" s="43"/>
      <c r="H76" s="43"/>
      <c r="I76" s="43"/>
      <c r="J76" s="43"/>
      <c r="K76" s="43"/>
      <c r="L76" s="43"/>
      <c r="M76" s="4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1:27" x14ac:dyDescent="0.2">
      <c r="D77" s="18" t="str">
        <f>IF(SUM(Grades!$E77:$AA77)/SUM($E$3:$AA$3) &lt;&gt; 0, SUM(Grades!$E77:$AA77)/SUM($E$3:$AA$3), "")</f>
        <v/>
      </c>
    </row>
    <row r="78" spans="1:27" x14ac:dyDescent="0.2">
      <c r="A78" s="13"/>
      <c r="B78" s="13"/>
      <c r="C78" s="13"/>
      <c r="D78" s="19" t="str">
        <f>IF(SUM(Grades!$E78:$AA78)/SUM($E$3:$AA$3) &lt;&gt; 0, SUM(Grades!$E78:$AA78)/SUM($E$3:$AA$3), "")</f>
        <v/>
      </c>
      <c r="E78" s="43"/>
      <c r="F78" s="43"/>
      <c r="G78" s="43"/>
      <c r="H78" s="43"/>
      <c r="I78" s="43"/>
      <c r="J78" s="43"/>
      <c r="K78" s="43"/>
      <c r="L78" s="43"/>
      <c r="M78" s="4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1:27" x14ac:dyDescent="0.2">
      <c r="D79" s="18" t="str">
        <f>IF(SUM(Grades!$E79:$AA79)/SUM($E$3:$AA$3) &lt;&gt; 0, SUM(Grades!$E79:$AA79)/SUM($E$3:$AA$3), "")</f>
        <v/>
      </c>
    </row>
    <row r="80" spans="1:27" x14ac:dyDescent="0.2">
      <c r="A80" s="13"/>
      <c r="B80" s="13"/>
      <c r="C80" s="13"/>
      <c r="D80" s="19" t="str">
        <f>IF(SUM(Grades!$E80:$AA80)/SUM($E$3:$AA$3) &lt;&gt; 0, SUM(Grades!$E80:$AA80)/SUM($E$3:$AA$3), "")</f>
        <v/>
      </c>
      <c r="E80" s="43"/>
      <c r="F80" s="43"/>
      <c r="G80" s="43"/>
      <c r="H80" s="43"/>
      <c r="I80" s="43"/>
      <c r="J80" s="43"/>
      <c r="K80" s="43"/>
      <c r="L80" s="43"/>
      <c r="M80" s="4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1:27" x14ac:dyDescent="0.2">
      <c r="D81" s="18" t="str">
        <f>IF(SUM(Grades!$E81:$AA81)/SUM($E$3:$AA$3) &lt;&gt; 0, SUM(Grades!$E81:$AA81)/SUM($E$3:$AA$3), "")</f>
        <v/>
      </c>
    </row>
    <row r="82" spans="1:27" x14ac:dyDescent="0.2">
      <c r="A82" s="13"/>
      <c r="B82" s="13"/>
      <c r="C82" s="13"/>
      <c r="D82" s="19" t="str">
        <f>IF(SUM(Grades!$E82:$AA82)/SUM($E$3:$AA$3) &lt;&gt; 0, SUM(Grades!$E82:$AA82)/SUM($E$3:$AA$3), "")</f>
        <v/>
      </c>
      <c r="E82" s="43"/>
      <c r="F82" s="43"/>
      <c r="G82" s="43"/>
      <c r="H82" s="43"/>
      <c r="I82" s="43"/>
      <c r="J82" s="43"/>
      <c r="K82" s="43"/>
      <c r="L82" s="43"/>
      <c r="M82" s="4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</row>
    <row r="83" spans="1:27" x14ac:dyDescent="0.2">
      <c r="D83" s="18" t="str">
        <f>IF(SUM(Grades!$E83:$AA83)/SUM($E$3:$AA$3) &lt;&gt; 0, SUM(Grades!$E83:$AA83)/SUM($E$3:$AA$3), "")</f>
        <v/>
      </c>
    </row>
    <row r="84" spans="1:27" x14ac:dyDescent="0.2">
      <c r="A84" s="13"/>
      <c r="B84" s="13"/>
      <c r="C84" s="13"/>
      <c r="D84" s="19" t="str">
        <f>IF(SUM(Grades!$E84:$AA84)/SUM($E$3:$AA$3) &lt;&gt; 0, SUM(Grades!$E84:$AA84)/SUM($E$3:$AA$3), "")</f>
        <v/>
      </c>
      <c r="E84" s="43"/>
      <c r="F84" s="43"/>
      <c r="G84" s="43"/>
      <c r="H84" s="43"/>
      <c r="I84" s="43"/>
      <c r="J84" s="43"/>
      <c r="K84" s="43"/>
      <c r="L84" s="43"/>
      <c r="M84" s="4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</row>
    <row r="85" spans="1:27" x14ac:dyDescent="0.2">
      <c r="D85" s="18" t="str">
        <f>IF(SUM(Grades!$E85:$AA85)/SUM($E$3:$AA$3) &lt;&gt; 0, SUM(Grades!$E85:$AA85)/SUM($E$3:$AA$3), "")</f>
        <v/>
      </c>
    </row>
    <row r="86" spans="1:27" x14ac:dyDescent="0.2">
      <c r="A86" s="13"/>
      <c r="B86" s="13"/>
      <c r="C86" s="13"/>
      <c r="D86" s="19" t="str">
        <f>IF(SUM(Grades!$E86:$AA86)/SUM($E$3:$AA$3) &lt;&gt; 0, SUM(Grades!$E86:$AA86)/SUM($E$3:$AA$3), "")</f>
        <v/>
      </c>
      <c r="E86" s="43"/>
      <c r="F86" s="43"/>
      <c r="G86" s="43"/>
      <c r="H86" s="43"/>
      <c r="I86" s="43"/>
      <c r="J86" s="43"/>
      <c r="K86" s="43"/>
      <c r="L86" s="43"/>
      <c r="M86" s="4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</row>
    <row r="87" spans="1:27" x14ac:dyDescent="0.2">
      <c r="D87" s="18" t="str">
        <f>IF(SUM(Grades!$E87:$AA87)/SUM($E$3:$AA$3) &lt;&gt; 0, SUM(Grades!$E87:$AA87)/SUM($E$3:$AA$3), "")</f>
        <v/>
      </c>
    </row>
    <row r="88" spans="1:27" x14ac:dyDescent="0.2">
      <c r="A88" s="13"/>
      <c r="B88" s="13"/>
      <c r="C88" s="13"/>
      <c r="D88" s="19" t="str">
        <f>IF(SUM(Grades!$E88:$AA88)/SUM($E$3:$AA$3) &lt;&gt; 0, SUM(Grades!$E88:$AA88)/SUM($E$3:$AA$3), "")</f>
        <v/>
      </c>
      <c r="E88" s="43"/>
      <c r="F88" s="43"/>
      <c r="G88" s="43"/>
      <c r="H88" s="43"/>
      <c r="I88" s="43"/>
      <c r="J88" s="43"/>
      <c r="K88" s="43"/>
      <c r="L88" s="43"/>
      <c r="M88" s="4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</row>
    <row r="89" spans="1:27" x14ac:dyDescent="0.2">
      <c r="D89" s="18" t="str">
        <f>IF(SUM(Grades!$E89:$AA89)/SUM($E$3:$AA$3) &lt;&gt; 0, SUM(Grades!$E89:$AA89)/SUM($E$3:$AA$3), "")</f>
        <v/>
      </c>
    </row>
    <row r="90" spans="1:27" x14ac:dyDescent="0.2">
      <c r="A90" s="13"/>
      <c r="B90" s="13"/>
      <c r="C90" s="13"/>
      <c r="D90" s="19" t="str">
        <f>IF(SUM(Grades!$E90:$AA90)/SUM($E$3:$AA$3) &lt;&gt; 0, SUM(Grades!$E90:$AA90)/SUM($E$3:$AA$3), "")</f>
        <v/>
      </c>
      <c r="E90" s="43"/>
      <c r="F90" s="43"/>
      <c r="G90" s="43"/>
      <c r="H90" s="43"/>
      <c r="I90" s="43"/>
      <c r="J90" s="43"/>
      <c r="K90" s="43"/>
      <c r="L90" s="43"/>
      <c r="M90" s="4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</row>
    <row r="91" spans="1:27" x14ac:dyDescent="0.2">
      <c r="D91" s="18" t="str">
        <f>IF(SUM(Grades!$E91:$AA91)/SUM($E$3:$AA$3) &lt;&gt; 0, SUM(Grades!$E91:$AA91)/SUM($E$3:$AA$3), "")</f>
        <v/>
      </c>
    </row>
    <row r="92" spans="1:27" x14ac:dyDescent="0.2">
      <c r="A92" s="13"/>
      <c r="B92" s="13"/>
      <c r="C92" s="13"/>
      <c r="D92" s="19" t="str">
        <f>IF(SUM(Grades!$E92:$AA92)/SUM($E$3:$AA$3) &lt;&gt; 0, SUM(Grades!$E92:$AA92)/SUM($E$3:$AA$3), "")</f>
        <v/>
      </c>
      <c r="E92" s="43"/>
      <c r="F92" s="43"/>
      <c r="G92" s="43"/>
      <c r="H92" s="43"/>
      <c r="I92" s="43"/>
      <c r="J92" s="43"/>
      <c r="K92" s="43"/>
      <c r="L92" s="43"/>
      <c r="M92" s="4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</row>
    <row r="93" spans="1:27" x14ac:dyDescent="0.2">
      <c r="D93" s="18" t="str">
        <f>IF(SUM(Grades!$E93:$AA93)/SUM($E$3:$AA$3) &lt;&gt; 0, SUM(Grades!$E93:$AA93)/SUM($E$3:$AA$3), "")</f>
        <v/>
      </c>
    </row>
    <row r="94" spans="1:27" x14ac:dyDescent="0.2">
      <c r="A94" s="13"/>
      <c r="B94" s="13"/>
      <c r="C94" s="13"/>
      <c r="D94" s="19" t="str">
        <f>IF(SUM(Grades!$E94:$AA94)/SUM($E$3:$AA$3) &lt;&gt; 0, SUM(Grades!$E94:$AA94)/SUM($E$3:$AA$3), "")</f>
        <v/>
      </c>
      <c r="E94" s="43"/>
      <c r="F94" s="43"/>
      <c r="G94" s="43"/>
      <c r="H94" s="43"/>
      <c r="I94" s="43"/>
      <c r="J94" s="43"/>
      <c r="K94" s="43"/>
      <c r="L94" s="43"/>
      <c r="M94" s="4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</row>
    <row r="95" spans="1:27" x14ac:dyDescent="0.2">
      <c r="D95" s="18" t="str">
        <f>IF(SUM(Grades!$E95:$AA95)/SUM($E$3:$AA$3) &lt;&gt; 0, SUM(Grades!$E95:$AA95)/SUM($E$3:$AA$3), "")</f>
        <v/>
      </c>
    </row>
    <row r="96" spans="1:27" x14ac:dyDescent="0.2">
      <c r="A96" s="13"/>
      <c r="B96" s="13"/>
      <c r="C96" s="13"/>
      <c r="D96" s="19" t="str">
        <f>IF(SUM(Grades!$E96:$AA96)/SUM($E$3:$AA$3) &lt;&gt; 0, SUM(Grades!$E96:$AA96)/SUM($E$3:$AA$3), "")</f>
        <v/>
      </c>
      <c r="E96" s="43"/>
      <c r="F96" s="43"/>
      <c r="G96" s="43"/>
      <c r="H96" s="43"/>
      <c r="I96" s="43"/>
      <c r="J96" s="43"/>
      <c r="K96" s="43"/>
      <c r="L96" s="43"/>
      <c r="M96" s="4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</row>
    <row r="97" spans="1:27" x14ac:dyDescent="0.2">
      <c r="D97" s="18" t="str">
        <f>IF(SUM(Grades!$E97:$AA97)/SUM($E$3:$AA$3) &lt;&gt; 0, SUM(Grades!$E97:$AA97)/SUM($E$3:$AA$3), "")</f>
        <v/>
      </c>
    </row>
    <row r="98" spans="1:27" x14ac:dyDescent="0.2">
      <c r="A98" s="13"/>
      <c r="B98" s="13"/>
      <c r="C98" s="13"/>
      <c r="D98" s="19" t="str">
        <f>IF(SUM(Grades!$E98:$AA98)/SUM($E$3:$AA$3) &lt;&gt; 0, SUM(Grades!$E98:$AA98)/SUM($E$3:$AA$3), "")</f>
        <v/>
      </c>
      <c r="E98" s="43"/>
      <c r="F98" s="43"/>
      <c r="G98" s="43"/>
      <c r="H98" s="43"/>
      <c r="I98" s="43"/>
      <c r="J98" s="43"/>
      <c r="K98" s="43"/>
      <c r="L98" s="43"/>
      <c r="M98" s="4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</row>
    <row r="99" spans="1:27" x14ac:dyDescent="0.2">
      <c r="D99" s="18" t="str">
        <f>IF(SUM(Grades!$E99:$AA99)/SUM($E$3:$AA$3) &lt;&gt; 0, SUM(Grades!$E99:$AA99)/SUM($E$3:$AA$3), "")</f>
        <v/>
      </c>
    </row>
    <row r="100" spans="1:27" x14ac:dyDescent="0.2">
      <c r="A100" s="13"/>
      <c r="B100" s="13"/>
      <c r="C100" s="13"/>
      <c r="D100" s="19" t="str">
        <f>IF(SUM(Grades!$E100:$AA100)/SUM($E$3:$AA$3) &lt;&gt; 0, SUM(Grades!$E100:$AA100)/SUM($E$3:$AA$3), "")</f>
        <v/>
      </c>
      <c r="E100" s="43"/>
      <c r="F100" s="43"/>
      <c r="G100" s="43"/>
      <c r="H100" s="43"/>
      <c r="I100" s="43"/>
      <c r="J100" s="43"/>
      <c r="K100" s="43"/>
      <c r="L100" s="43"/>
      <c r="M100" s="4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</row>
    <row r="101" spans="1:27" x14ac:dyDescent="0.2">
      <c r="D101" s="18" t="str">
        <f>IF(SUM(Grades!$E101:$AA101)/SUM($E$3:$AA$3) &lt;&gt; 0, SUM(Grades!$E101:$AA101)/SUM($E$3:$AA$3), "")</f>
        <v/>
      </c>
    </row>
    <row r="102" spans="1:27" x14ac:dyDescent="0.2">
      <c r="A102" s="13"/>
      <c r="B102" s="13"/>
      <c r="C102" s="13"/>
      <c r="D102" s="19" t="str">
        <f>IF(SUM(Grades!$E102:$AA102)/SUM($E$3:$AA$3) &lt;&gt; 0, SUM(Grades!$E102:$AA102)/SUM($E$3:$AA$3), "")</f>
        <v/>
      </c>
      <c r="E102" s="43"/>
      <c r="F102" s="43"/>
      <c r="G102" s="43"/>
      <c r="H102" s="43"/>
      <c r="I102" s="43"/>
      <c r="J102" s="43"/>
      <c r="K102" s="43"/>
      <c r="L102" s="43"/>
      <c r="M102" s="4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</row>
    <row r="103" spans="1:27" x14ac:dyDescent="0.2">
      <c r="D103" s="18" t="str">
        <f>IF(SUM(Grades!$E103:$AA103)/SUM($E$3:$AA$3) &lt;&gt; 0, SUM(Grades!$E103:$AA103)/SUM($E$3:$AA$3), "")</f>
        <v/>
      </c>
    </row>
    <row r="104" spans="1:27" x14ac:dyDescent="0.2">
      <c r="A104" s="13"/>
      <c r="B104" s="13"/>
      <c r="C104" s="13"/>
      <c r="D104" s="19" t="str">
        <f>IF(SUM(Grades!$E104:$AA104)/SUM($E$3:$AA$3) &lt;&gt; 0, SUM(Grades!$E104:$AA104)/SUM($E$3:$AA$3), "")</f>
        <v/>
      </c>
      <c r="E104" s="43"/>
      <c r="F104" s="43"/>
      <c r="G104" s="43"/>
      <c r="H104" s="43"/>
      <c r="I104" s="43"/>
      <c r="J104" s="43"/>
      <c r="K104" s="43"/>
      <c r="L104" s="43"/>
      <c r="M104" s="4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</row>
    <row r="105" spans="1:27" x14ac:dyDescent="0.2">
      <c r="D105" s="18" t="str">
        <f>IF(SUM(Grades!$E105:$AA105)/SUM($E$3:$AA$3) &lt;&gt; 0, SUM(Grades!$E105:$AA105)/SUM($E$3:$AA$3), "")</f>
        <v/>
      </c>
    </row>
    <row r="106" spans="1:27" x14ac:dyDescent="0.2">
      <c r="A106" s="13"/>
      <c r="B106" s="13"/>
      <c r="C106" s="13"/>
      <c r="D106" s="19" t="str">
        <f>IF(SUM(Grades!$E106:$AA106)/SUM($E$3:$AA$3) &lt;&gt; 0, SUM(Grades!$E106:$AA106)/SUM($E$3:$AA$3), "")</f>
        <v/>
      </c>
      <c r="E106" s="43"/>
      <c r="F106" s="43"/>
      <c r="G106" s="43"/>
      <c r="H106" s="43"/>
      <c r="I106" s="43"/>
      <c r="J106" s="43"/>
      <c r="K106" s="43"/>
      <c r="L106" s="43"/>
      <c r="M106" s="4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</row>
    <row r="107" spans="1:27" x14ac:dyDescent="0.2">
      <c r="D107" s="18" t="str">
        <f>IF(SUM(Grades!$E107:$AA107)/SUM($E$3:$AA$3) &lt;&gt; 0, SUM(Grades!$E107:$AA107)/SUM($E$3:$AA$3), "")</f>
        <v/>
      </c>
    </row>
    <row r="108" spans="1:27" x14ac:dyDescent="0.2">
      <c r="A108" s="13"/>
      <c r="B108" s="13"/>
      <c r="C108" s="13"/>
      <c r="D108" s="19" t="str">
        <f>IF(SUM(Grades!$E108:$AA108)/SUM($E$3:$AA$3) &lt;&gt; 0, SUM(Grades!$E108:$AA108)/SUM($E$3:$AA$3), "")</f>
        <v/>
      </c>
      <c r="E108" s="43"/>
      <c r="F108" s="43"/>
      <c r="G108" s="43"/>
      <c r="H108" s="43"/>
      <c r="I108" s="43"/>
      <c r="J108" s="43"/>
      <c r="K108" s="43"/>
      <c r="L108" s="43"/>
      <c r="M108" s="4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</row>
    <row r="109" spans="1:27" x14ac:dyDescent="0.2">
      <c r="D109" s="18" t="str">
        <f>IF(SUM(Grades!$E109:$AA109)/SUM($E$3:$AA$3) &lt;&gt; 0, SUM(Grades!$E109:$AA109)/SUM($E$3:$AA$3), "")</f>
        <v/>
      </c>
    </row>
    <row r="110" spans="1:27" x14ac:dyDescent="0.2">
      <c r="A110" s="13"/>
      <c r="B110" s="13"/>
      <c r="C110" s="13"/>
      <c r="D110" s="19" t="str">
        <f>IF(SUM(Grades!$E110:$AA110)/SUM($E$3:$AA$3) &lt;&gt; 0, SUM(Grades!$E110:$AA110)/SUM($E$3:$AA$3), "")</f>
        <v/>
      </c>
      <c r="E110" s="43"/>
      <c r="F110" s="43"/>
      <c r="G110" s="43"/>
      <c r="H110" s="43"/>
      <c r="I110" s="43"/>
      <c r="J110" s="43"/>
      <c r="K110" s="43"/>
      <c r="L110" s="43"/>
      <c r="M110" s="4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</row>
    <row r="111" spans="1:27" x14ac:dyDescent="0.2">
      <c r="D111" s="18" t="str">
        <f>IF(SUM(Grades!$E111:$AA111)/SUM($E$3:$AA$3) &lt;&gt; 0, SUM(Grades!$E111:$AA111)/SUM($E$3:$AA$3), "")</f>
        <v/>
      </c>
    </row>
    <row r="112" spans="1:27" x14ac:dyDescent="0.2">
      <c r="A112" s="13"/>
      <c r="B112" s="13"/>
      <c r="C112" s="13"/>
      <c r="D112" s="19" t="str">
        <f>IF(SUM(Grades!$E112:$AA112)/SUM($E$3:$AA$3) &lt;&gt; 0, SUM(Grades!$E112:$AA112)/SUM($E$3:$AA$3), "")</f>
        <v/>
      </c>
      <c r="E112" s="43"/>
      <c r="F112" s="43"/>
      <c r="G112" s="43"/>
      <c r="H112" s="43"/>
      <c r="I112" s="43"/>
      <c r="J112" s="43"/>
      <c r="K112" s="43"/>
      <c r="L112" s="43"/>
      <c r="M112" s="4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</row>
    <row r="113" spans="1:27" x14ac:dyDescent="0.2">
      <c r="D113" s="18" t="str">
        <f>IF(SUM(Grades!$E113:$AA113)/SUM($E$3:$AA$3) &lt;&gt; 0, SUM(Grades!$E113:$AA113)/SUM($E$3:$AA$3), "")</f>
        <v/>
      </c>
    </row>
    <row r="114" spans="1:27" x14ac:dyDescent="0.2">
      <c r="A114" s="13"/>
      <c r="B114" s="13"/>
      <c r="C114" s="13"/>
      <c r="D114" s="19" t="str">
        <f>IF(SUM(Grades!$E114:$AA114)/SUM($E$3:$AA$3) &lt;&gt; 0, SUM(Grades!$E114:$AA114)/SUM($E$3:$AA$3), "")</f>
        <v/>
      </c>
      <c r="E114" s="43"/>
      <c r="F114" s="43"/>
      <c r="G114" s="43"/>
      <c r="H114" s="43"/>
      <c r="I114" s="43"/>
      <c r="J114" s="43"/>
      <c r="K114" s="43"/>
      <c r="L114" s="43"/>
      <c r="M114" s="4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</row>
    <row r="115" spans="1:27" x14ac:dyDescent="0.2">
      <c r="D115" s="18" t="str">
        <f>IF(SUM(Grades!$E115:$AA115)/SUM($E$3:$AA$3) &lt;&gt; 0, SUM(Grades!$E115:$AA115)/SUM($E$3:$AA$3), "")</f>
        <v/>
      </c>
    </row>
    <row r="116" spans="1:27" x14ac:dyDescent="0.2">
      <c r="A116" s="13"/>
      <c r="B116" s="13"/>
      <c r="C116" s="13"/>
      <c r="D116" s="19" t="str">
        <f>IF(SUM(Grades!$E116:$AA116)/SUM($E$3:$AA$3) &lt;&gt; 0, SUM(Grades!$E116:$AA116)/SUM($E$3:$AA$3), "")</f>
        <v/>
      </c>
      <c r="E116" s="43"/>
      <c r="F116" s="43"/>
      <c r="G116" s="43"/>
      <c r="H116" s="43"/>
      <c r="I116" s="43"/>
      <c r="J116" s="43"/>
      <c r="K116" s="43"/>
      <c r="L116" s="43"/>
      <c r="M116" s="4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</row>
    <row r="117" spans="1:27" x14ac:dyDescent="0.2">
      <c r="D117" s="18" t="str">
        <f>IF(SUM(Grades!$E117:$AA117)/SUM($E$3:$AA$3) &lt;&gt; 0, SUM(Grades!$E117:$AA117)/SUM($E$3:$AA$3), "")</f>
        <v/>
      </c>
    </row>
    <row r="118" spans="1:27" x14ac:dyDescent="0.2">
      <c r="A118" s="13"/>
      <c r="B118" s="13"/>
      <c r="C118" s="13"/>
      <c r="D118" s="19" t="str">
        <f>IF(SUM(Grades!$E118:$AA118)/SUM($E$3:$AA$3) &lt;&gt; 0, SUM(Grades!$E118:$AA118)/SUM($E$3:$AA$3), "")</f>
        <v/>
      </c>
      <c r="E118" s="43"/>
      <c r="F118" s="43"/>
      <c r="G118" s="43"/>
      <c r="H118" s="43"/>
      <c r="I118" s="43"/>
      <c r="J118" s="43"/>
      <c r="K118" s="43"/>
      <c r="L118" s="43"/>
      <c r="M118" s="4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</row>
    <row r="119" spans="1:27" x14ac:dyDescent="0.2">
      <c r="D119" s="18" t="str">
        <f>IF(SUM(Grades!$E119:$AA119)/SUM($E$3:$AA$3) &lt;&gt; 0, SUM(Grades!$E119:$AA119)/SUM($E$3:$AA$3), "")</f>
        <v/>
      </c>
    </row>
    <row r="120" spans="1:27" x14ac:dyDescent="0.2">
      <c r="A120" s="13"/>
      <c r="B120" s="13"/>
      <c r="C120" s="13"/>
      <c r="D120" s="19" t="str">
        <f>IF(SUM(Grades!$E120:$AA120)/SUM($E$3:$AA$3) &lt;&gt; 0, SUM(Grades!$E120:$AA120)/SUM($E$3:$AA$3), "")</f>
        <v/>
      </c>
      <c r="E120" s="43"/>
      <c r="F120" s="43"/>
      <c r="G120" s="43"/>
      <c r="H120" s="43"/>
      <c r="I120" s="43"/>
      <c r="J120" s="43"/>
      <c r="K120" s="43"/>
      <c r="L120" s="43"/>
      <c r="M120" s="4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</row>
    <row r="121" spans="1:27" x14ac:dyDescent="0.2">
      <c r="D121" s="18" t="str">
        <f>IF(SUM(Grades!$E121:$AA121)/SUM($E$3:$AA$3) &lt;&gt; 0, SUM(Grades!$E121:$AA121)/SUM($E$3:$AA$3), "")</f>
        <v/>
      </c>
    </row>
    <row r="122" spans="1:27" x14ac:dyDescent="0.2">
      <c r="A122" s="13"/>
      <c r="B122" s="13"/>
      <c r="C122" s="13"/>
      <c r="D122" s="19" t="str">
        <f>IF(SUM(Grades!$E122:$AA122)/SUM($E$3:$AA$3) &lt;&gt; 0, SUM(Grades!$E122:$AA122)/SUM($E$3:$AA$3), "")</f>
        <v/>
      </c>
      <c r="E122" s="43"/>
      <c r="F122" s="43"/>
      <c r="G122" s="43"/>
      <c r="H122" s="43"/>
      <c r="I122" s="43"/>
      <c r="J122" s="43"/>
      <c r="K122" s="43"/>
      <c r="L122" s="43"/>
      <c r="M122" s="4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</row>
    <row r="123" spans="1:27" x14ac:dyDescent="0.2">
      <c r="D123" s="18" t="str">
        <f>IF(SUM(Grades!$E123:$AA123)/SUM($E$3:$AA$3) &lt;&gt; 0, SUM(Grades!$E123:$AA123)/SUM($E$3:$AA$3), "")</f>
        <v/>
      </c>
    </row>
    <row r="124" spans="1:27" x14ac:dyDescent="0.2">
      <c r="A124" s="13"/>
      <c r="B124" s="13"/>
      <c r="C124" s="13"/>
      <c r="D124" s="19" t="str">
        <f>IF(SUM(Grades!$E124:$AA124)/SUM($E$3:$AA$3) &lt;&gt; 0, SUM(Grades!$E124:$AA124)/SUM($E$3:$AA$3), "")</f>
        <v/>
      </c>
      <c r="E124" s="43"/>
      <c r="F124" s="43"/>
      <c r="G124" s="43"/>
      <c r="H124" s="43"/>
      <c r="I124" s="43"/>
      <c r="J124" s="43"/>
      <c r="K124" s="43"/>
      <c r="L124" s="43"/>
      <c r="M124" s="4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</row>
    <row r="125" spans="1:27" x14ac:dyDescent="0.2">
      <c r="D125" s="18" t="str">
        <f>IF(SUM(Grades!$E125:$AA125)/SUM($E$3:$AA$3) &lt;&gt; 0, SUM(Grades!$E125:$AA125)/SUM($E$3:$AA$3), "")</f>
        <v/>
      </c>
    </row>
    <row r="126" spans="1:27" x14ac:dyDescent="0.2">
      <c r="A126" s="13"/>
      <c r="B126" s="13"/>
      <c r="C126" s="13"/>
      <c r="D126" s="19" t="str">
        <f>IF(SUM(Grades!$E126:$AA126)/SUM($E$3:$AA$3) &lt;&gt; 0, SUM(Grades!$E126:$AA126)/SUM($E$3:$AA$3), "")</f>
        <v/>
      </c>
      <c r="E126" s="43"/>
      <c r="F126" s="43"/>
      <c r="G126" s="43"/>
      <c r="H126" s="43"/>
      <c r="I126" s="43"/>
      <c r="J126" s="43"/>
      <c r="K126" s="43"/>
      <c r="L126" s="43"/>
      <c r="M126" s="4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</row>
    <row r="127" spans="1:27" x14ac:dyDescent="0.2">
      <c r="D127" s="18" t="str">
        <f>IF(SUM(Grades!$E127:$AA127)/SUM($E$3:$AA$3) &lt;&gt; 0, SUM(Grades!$E127:$AA127)/SUM($E$3:$AA$3), "")</f>
        <v/>
      </c>
    </row>
    <row r="128" spans="1:27" x14ac:dyDescent="0.2">
      <c r="A128" s="13"/>
      <c r="B128" s="13"/>
      <c r="C128" s="13"/>
      <c r="D128" s="19" t="str">
        <f>IF(SUM(Grades!$E128:$AA128)/SUM($E$3:$AA$3) &lt;&gt; 0, SUM(Grades!$E128:$AA128)/SUM($E$3:$AA$3), "")</f>
        <v/>
      </c>
      <c r="E128" s="43"/>
      <c r="F128" s="43"/>
      <c r="G128" s="43"/>
      <c r="H128" s="43"/>
      <c r="I128" s="43"/>
      <c r="J128" s="43"/>
      <c r="K128" s="43"/>
      <c r="L128" s="43"/>
      <c r="M128" s="4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</row>
    <row r="129" spans="1:27" x14ac:dyDescent="0.2">
      <c r="D129" s="18" t="str">
        <f>IF(SUM(Grades!$E129:$AA129)/SUM($E$3:$AA$3) &lt;&gt; 0, SUM(Grades!$E129:$AA129)/SUM($E$3:$AA$3), "")</f>
        <v/>
      </c>
    </row>
    <row r="130" spans="1:27" x14ac:dyDescent="0.2">
      <c r="A130" s="13"/>
      <c r="B130" s="13"/>
      <c r="C130" s="13"/>
      <c r="D130" s="19" t="str">
        <f>IF(SUM(Grades!$E130:$AA130)/SUM($E$3:$AA$3) &lt;&gt; 0, SUM(Grades!$E130:$AA130)/SUM($E$3:$AA$3), "")</f>
        <v/>
      </c>
      <c r="E130" s="43"/>
      <c r="F130" s="43"/>
      <c r="G130" s="43"/>
      <c r="H130" s="43"/>
      <c r="I130" s="43"/>
      <c r="J130" s="43"/>
      <c r="K130" s="43"/>
      <c r="L130" s="43"/>
      <c r="M130" s="4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</row>
    <row r="131" spans="1:27" x14ac:dyDescent="0.2">
      <c r="D131" s="18" t="str">
        <f>IF(SUM(Grades!$E131:$AA131)/SUM($E$3:$AA$3) &lt;&gt; 0, SUM(Grades!$E131:$AA131)/SUM($E$3:$AA$3), "")</f>
        <v/>
      </c>
    </row>
    <row r="132" spans="1:27" x14ac:dyDescent="0.2">
      <c r="A132" s="13"/>
      <c r="B132" s="13"/>
      <c r="C132" s="13"/>
      <c r="D132" s="19" t="str">
        <f>IF(SUM(Grades!$E132:$AA132)/SUM($E$3:$AA$3) &lt;&gt; 0, SUM(Grades!$E132:$AA132)/SUM($E$3:$AA$3), "")</f>
        <v/>
      </c>
      <c r="E132" s="43"/>
      <c r="F132" s="43"/>
      <c r="G132" s="43"/>
      <c r="H132" s="43"/>
      <c r="I132" s="43"/>
      <c r="J132" s="43"/>
      <c r="K132" s="43"/>
      <c r="L132" s="43"/>
      <c r="M132" s="4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</row>
    <row r="133" spans="1:27" x14ac:dyDescent="0.2">
      <c r="D133" s="18" t="str">
        <f>IF(SUM(Grades!$E133:$AA133)/SUM($E$3:$AA$3) &lt;&gt; 0, SUM(Grades!$E133:$AA133)/SUM($E$3:$AA$3), "")</f>
        <v/>
      </c>
    </row>
    <row r="134" spans="1:27" x14ac:dyDescent="0.2">
      <c r="A134" s="13"/>
      <c r="B134" s="13"/>
      <c r="C134" s="13"/>
      <c r="D134" s="19" t="str">
        <f>IF(SUM(Grades!$E134:$AA134)/SUM($E$3:$AA$3) &lt;&gt; 0, SUM(Grades!$E134:$AA134)/SUM($E$3:$AA$3), "")</f>
        <v/>
      </c>
      <c r="E134" s="43"/>
      <c r="F134" s="43"/>
      <c r="G134" s="43"/>
      <c r="H134" s="43"/>
      <c r="I134" s="43"/>
      <c r="J134" s="43"/>
      <c r="K134" s="43"/>
      <c r="L134" s="43"/>
      <c r="M134" s="4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</row>
    <row r="135" spans="1:27" x14ac:dyDescent="0.2">
      <c r="D135" s="18" t="str">
        <f>IF(SUM(Grades!$E135:$AA135)/SUM($E$3:$AA$3) &lt;&gt; 0, SUM(Grades!$E135:$AA135)/SUM($E$3:$AA$3), "")</f>
        <v/>
      </c>
    </row>
    <row r="136" spans="1:27" x14ac:dyDescent="0.2">
      <c r="A136" s="13"/>
      <c r="B136" s="13"/>
      <c r="C136" s="13"/>
      <c r="D136" s="19" t="str">
        <f>IF(SUM(Grades!$E136:$AA136)/SUM($E$3:$AA$3) &lt;&gt; 0, SUM(Grades!$E136:$AA136)/SUM($E$3:$AA$3), "")</f>
        <v/>
      </c>
      <c r="E136" s="43"/>
      <c r="F136" s="43"/>
      <c r="G136" s="43"/>
      <c r="H136" s="43"/>
      <c r="I136" s="43"/>
      <c r="J136" s="43"/>
      <c r="K136" s="43"/>
      <c r="L136" s="43"/>
      <c r="M136" s="4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</row>
    <row r="137" spans="1:27" x14ac:dyDescent="0.2">
      <c r="D137" s="18" t="str">
        <f>IF(SUM(Grades!$E137:$AA137)/SUM($E$3:$AA$3) &lt;&gt; 0, SUM(Grades!$E137:$AA137)/SUM($E$3:$AA$3), "")</f>
        <v/>
      </c>
    </row>
    <row r="138" spans="1:27" x14ac:dyDescent="0.2">
      <c r="A138" s="13"/>
      <c r="B138" s="13"/>
      <c r="C138" s="13"/>
      <c r="D138" s="19" t="str">
        <f>IF(SUM(Grades!$E138:$AA138)/SUM($E$3:$AA$3) &lt;&gt; 0, SUM(Grades!$E138:$AA138)/SUM($E$3:$AA$3), "")</f>
        <v/>
      </c>
      <c r="E138" s="43"/>
      <c r="F138" s="43"/>
      <c r="G138" s="43"/>
      <c r="H138" s="43"/>
      <c r="I138" s="43"/>
      <c r="J138" s="43"/>
      <c r="K138" s="43"/>
      <c r="L138" s="43"/>
      <c r="M138" s="4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</row>
    <row r="139" spans="1:27" x14ac:dyDescent="0.2">
      <c r="D139" s="18" t="str">
        <f>IF(SUM(Grades!$E139:$AA139)/SUM($E$3:$AA$3) &lt;&gt; 0, SUM(Grades!$E139:$AA139)/SUM($E$3:$AA$3), "")</f>
        <v/>
      </c>
    </row>
    <row r="140" spans="1:27" x14ac:dyDescent="0.2">
      <c r="A140" s="13"/>
      <c r="B140" s="13"/>
      <c r="C140" s="13"/>
      <c r="D140" s="19" t="str">
        <f>IF(SUM(Grades!$E140:$AA140)/SUM($E$3:$AA$3) &lt;&gt; 0, SUM(Grades!$E140:$AA140)/SUM($E$3:$AA$3), "")</f>
        <v/>
      </c>
      <c r="E140" s="43"/>
      <c r="F140" s="43"/>
      <c r="G140" s="43"/>
      <c r="H140" s="43"/>
      <c r="I140" s="43"/>
      <c r="J140" s="43"/>
      <c r="K140" s="43"/>
      <c r="L140" s="43"/>
      <c r="M140" s="4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</row>
    <row r="141" spans="1:27" x14ac:dyDescent="0.2">
      <c r="D141" s="18" t="str">
        <f>IF(SUM(Grades!$E141:$AA141)/SUM($E$3:$AA$3) &lt;&gt; 0, SUM(Grades!$E141:$AA141)/SUM($E$3:$AA$3), "")</f>
        <v/>
      </c>
    </row>
    <row r="142" spans="1:27" x14ac:dyDescent="0.2">
      <c r="A142" s="13"/>
      <c r="B142" s="13"/>
      <c r="C142" s="13"/>
      <c r="D142" s="19" t="str">
        <f>IF(SUM(Grades!$E142:$AA142)/SUM($E$3:$AA$3) &lt;&gt; 0, SUM(Grades!$E142:$AA142)/SUM($E$3:$AA$3), "")</f>
        <v/>
      </c>
      <c r="E142" s="43"/>
      <c r="F142" s="43"/>
      <c r="G142" s="43"/>
      <c r="H142" s="43"/>
      <c r="I142" s="43"/>
      <c r="J142" s="43"/>
      <c r="K142" s="43"/>
      <c r="L142" s="43"/>
      <c r="M142" s="4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</row>
    <row r="143" spans="1:27" x14ac:dyDescent="0.2">
      <c r="D143" s="18" t="str">
        <f>IF(SUM(Grades!$E143:$AA143)/SUM($E$3:$AA$3) &lt;&gt; 0, SUM(Grades!$E143:$AA143)/SUM($E$3:$AA$3), "")</f>
        <v/>
      </c>
    </row>
    <row r="144" spans="1:27" x14ac:dyDescent="0.2">
      <c r="A144" s="13"/>
      <c r="B144" s="13"/>
      <c r="C144" s="13"/>
      <c r="D144" s="19" t="str">
        <f>IF(SUM(Grades!$E144:$AA144)/SUM($E$3:$AA$3) &lt;&gt; 0, SUM(Grades!$E144:$AA144)/SUM($E$3:$AA$3), "")</f>
        <v/>
      </c>
      <c r="E144" s="43"/>
      <c r="F144" s="43"/>
      <c r="G144" s="43"/>
      <c r="H144" s="43"/>
      <c r="I144" s="43"/>
      <c r="J144" s="43"/>
      <c r="K144" s="43"/>
      <c r="L144" s="43"/>
      <c r="M144" s="4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</row>
    <row r="145" spans="1:27" x14ac:dyDescent="0.2">
      <c r="D145" s="18" t="str">
        <f>IF(SUM(Grades!$E145:$AA145)/SUM($E$3:$AA$3) &lt;&gt; 0, SUM(Grades!$E145:$AA145)/SUM($E$3:$AA$3), "")</f>
        <v/>
      </c>
    </row>
    <row r="146" spans="1:27" x14ac:dyDescent="0.2">
      <c r="A146" s="13"/>
      <c r="B146" s="13"/>
      <c r="C146" s="13"/>
      <c r="D146" s="19" t="str">
        <f>IF(SUM(Grades!$E146:$AA146)/SUM($E$3:$AA$3) &lt;&gt; 0, SUM(Grades!$E146:$AA146)/SUM($E$3:$AA$3), "")</f>
        <v/>
      </c>
      <c r="E146" s="43"/>
      <c r="F146" s="43"/>
      <c r="G146" s="43"/>
      <c r="H146" s="43"/>
      <c r="I146" s="43"/>
      <c r="J146" s="43"/>
      <c r="K146" s="43"/>
      <c r="L146" s="43"/>
      <c r="M146" s="4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</row>
    <row r="147" spans="1:27" x14ac:dyDescent="0.2">
      <c r="D147" s="18" t="str">
        <f>IF(SUM(Grades!$E147:$AA147)/SUM($E$3:$AA$3) &lt;&gt; 0, SUM(Grades!$E147:$AA147)/SUM($E$3:$AA$3), "")</f>
        <v/>
      </c>
    </row>
    <row r="148" spans="1:27" x14ac:dyDescent="0.2">
      <c r="A148" s="13"/>
      <c r="B148" s="13"/>
      <c r="C148" s="13"/>
      <c r="D148" s="19" t="str">
        <f>IF(SUM(Grades!$E148:$AA148)/SUM($E$3:$AA$3) &lt;&gt; 0, SUM(Grades!$E148:$AA148)/SUM($E$3:$AA$3), "")</f>
        <v/>
      </c>
      <c r="E148" s="43"/>
      <c r="F148" s="43"/>
      <c r="G148" s="43"/>
      <c r="H148" s="43"/>
      <c r="I148" s="43"/>
      <c r="J148" s="43"/>
      <c r="K148" s="43"/>
      <c r="L148" s="43"/>
      <c r="M148" s="4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</row>
    <row r="149" spans="1:27" x14ac:dyDescent="0.2">
      <c r="D149" s="18" t="str">
        <f>IF(SUM(Grades!$E149:$AA149)/SUM($E$3:$AA$3) &lt;&gt; 0, SUM(Grades!$E149:$AA149)/SUM($E$3:$AA$3), "")</f>
        <v/>
      </c>
    </row>
    <row r="150" spans="1:27" x14ac:dyDescent="0.2">
      <c r="A150" s="13"/>
      <c r="B150" s="13"/>
      <c r="C150" s="13"/>
      <c r="D150" s="19" t="str">
        <f>IF(SUM(Grades!$E150:$AA150)/SUM($E$3:$AA$3) &lt;&gt; 0, SUM(Grades!$E150:$AA150)/SUM($E$3:$AA$3), "")</f>
        <v/>
      </c>
      <c r="E150" s="43"/>
      <c r="F150" s="43"/>
      <c r="G150" s="43"/>
      <c r="H150" s="43"/>
      <c r="I150" s="43"/>
      <c r="J150" s="43"/>
      <c r="K150" s="43"/>
      <c r="L150" s="43"/>
      <c r="M150" s="4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</row>
    <row r="151" spans="1:27" x14ac:dyDescent="0.2">
      <c r="D151" s="18" t="str">
        <f>IF(SUM(Grades!$E151:$AA151)/SUM($E$3:$AA$3) &lt;&gt; 0, SUM(Grades!$E151:$AA151)/SUM($E$3:$AA$3), "")</f>
        <v/>
      </c>
    </row>
    <row r="152" spans="1:27" x14ac:dyDescent="0.2">
      <c r="A152" s="13"/>
      <c r="B152" s="13"/>
      <c r="C152" s="13"/>
      <c r="D152" s="19" t="str">
        <f>IF(SUM(Grades!$E152:$AA152)/SUM($E$3:$AA$3) &lt;&gt; 0, SUM(Grades!$E152:$AA152)/SUM($E$3:$AA$3), "")</f>
        <v/>
      </c>
      <c r="E152" s="43"/>
      <c r="F152" s="43"/>
      <c r="G152" s="43"/>
      <c r="H152" s="43"/>
      <c r="I152" s="43"/>
      <c r="J152" s="43"/>
      <c r="K152" s="43"/>
      <c r="L152" s="43"/>
      <c r="M152" s="4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</row>
    <row r="153" spans="1:27" x14ac:dyDescent="0.2">
      <c r="D153" s="18" t="str">
        <f>IF(SUM(Grades!$E153:$AA153)/SUM($E$3:$AA$3) &lt;&gt; 0, SUM(Grades!$E153:$AA153)/SUM($E$3:$AA$3), "")</f>
        <v/>
      </c>
    </row>
    <row r="154" spans="1:27" x14ac:dyDescent="0.2">
      <c r="A154" s="13"/>
      <c r="B154" s="13"/>
      <c r="C154" s="13"/>
      <c r="D154" s="19" t="str">
        <f>IF(SUM(Grades!$E154:$AA154)/SUM($E$3:$AA$3) &lt;&gt; 0, SUM(Grades!$E154:$AA154)/SUM($E$3:$AA$3), "")</f>
        <v/>
      </c>
      <c r="E154" s="43"/>
      <c r="F154" s="43"/>
      <c r="G154" s="43"/>
      <c r="H154" s="43"/>
      <c r="I154" s="43"/>
      <c r="J154" s="43"/>
      <c r="K154" s="43"/>
      <c r="L154" s="43"/>
      <c r="M154" s="4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</row>
    <row r="155" spans="1:27" x14ac:dyDescent="0.2">
      <c r="D155" s="18" t="str">
        <f>IF(SUM(Grades!$E155:$AA155)/SUM($E$3:$AA$3) &lt;&gt; 0, SUM(Grades!$E155:$AA155)/SUM($E$3:$AA$3), "")</f>
        <v/>
      </c>
    </row>
    <row r="156" spans="1:27" x14ac:dyDescent="0.2">
      <c r="A156" s="13"/>
      <c r="B156" s="13"/>
      <c r="C156" s="13"/>
      <c r="D156" s="19" t="str">
        <f>IF(SUM(Grades!$E156:$AA156)/SUM($E$3:$AA$3) &lt;&gt; 0, SUM(Grades!$E156:$AA156)/SUM($E$3:$AA$3), "")</f>
        <v/>
      </c>
      <c r="E156" s="43"/>
      <c r="F156" s="43"/>
      <c r="G156" s="43"/>
      <c r="H156" s="43"/>
      <c r="I156" s="43"/>
      <c r="J156" s="43"/>
      <c r="K156" s="43"/>
      <c r="L156" s="43"/>
      <c r="M156" s="4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</row>
    <row r="157" spans="1:27" x14ac:dyDescent="0.2">
      <c r="D157" s="18" t="str">
        <f>IF(SUM(Grades!$E157:$AA157)/SUM($E$3:$AA$3) &lt;&gt; 0, SUM(Grades!$E157:$AA157)/SUM($E$3:$AA$3), "")</f>
        <v/>
      </c>
    </row>
    <row r="158" spans="1:27" x14ac:dyDescent="0.2">
      <c r="A158" s="13"/>
      <c r="B158" s="13"/>
      <c r="C158" s="13"/>
      <c r="D158" s="19" t="str">
        <f>IF(SUM(Grades!$E158:$AA158)/SUM($E$3:$AA$3) &lt;&gt; 0, SUM(Grades!$E158:$AA158)/SUM($E$3:$AA$3), "")</f>
        <v/>
      </c>
      <c r="E158" s="43"/>
      <c r="F158" s="43"/>
      <c r="G158" s="43"/>
      <c r="H158" s="43"/>
      <c r="I158" s="43"/>
      <c r="J158" s="43"/>
      <c r="K158" s="43"/>
      <c r="L158" s="43"/>
      <c r="M158" s="4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</row>
    <row r="159" spans="1:27" x14ac:dyDescent="0.2">
      <c r="D159" s="18" t="str">
        <f>IF(SUM(Grades!$E159:$AA159)/SUM($E$3:$AA$3) &lt;&gt; 0, SUM(Grades!$E159:$AA159)/SUM($E$3:$AA$3), "")</f>
        <v/>
      </c>
    </row>
    <row r="160" spans="1:27" x14ac:dyDescent="0.2">
      <c r="A160" s="13"/>
      <c r="B160" s="13"/>
      <c r="C160" s="13"/>
      <c r="D160" s="19" t="str">
        <f>IF(SUM(Grades!$E160:$AA160)/SUM($E$3:$AA$3) &lt;&gt; 0, SUM(Grades!$E160:$AA160)/SUM($E$3:$AA$3), "")</f>
        <v/>
      </c>
      <c r="E160" s="43"/>
      <c r="F160" s="43"/>
      <c r="G160" s="43"/>
      <c r="H160" s="43"/>
      <c r="I160" s="43"/>
      <c r="J160" s="43"/>
      <c r="K160" s="43"/>
      <c r="L160" s="43"/>
      <c r="M160" s="4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</row>
    <row r="161" spans="1:27" x14ac:dyDescent="0.2">
      <c r="D161" s="18" t="str">
        <f>IF(SUM(Grades!$E161:$AA161)/SUM($E$3:$AA$3) &lt;&gt; 0, SUM(Grades!$E161:$AA161)/SUM($E$3:$AA$3), "")</f>
        <v/>
      </c>
    </row>
    <row r="162" spans="1:27" x14ac:dyDescent="0.2">
      <c r="A162" s="13"/>
      <c r="B162" s="13"/>
      <c r="C162" s="13"/>
      <c r="D162" s="19" t="str">
        <f>IF(SUM(Grades!$E162:$AA162)/SUM($E$3:$AA$3) &lt;&gt; 0, SUM(Grades!$E162:$AA162)/SUM($E$3:$AA$3), "")</f>
        <v/>
      </c>
      <c r="E162" s="43"/>
      <c r="F162" s="43"/>
      <c r="G162" s="43"/>
      <c r="H162" s="43"/>
      <c r="I162" s="43"/>
      <c r="J162" s="43"/>
      <c r="K162" s="43"/>
      <c r="L162" s="43"/>
      <c r="M162" s="4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</row>
    <row r="163" spans="1:27" x14ac:dyDescent="0.2">
      <c r="D163" s="18" t="str">
        <f>IF(SUM(Grades!$E163:$AA163)/SUM($E$3:$AA$3) &lt;&gt; 0, SUM(Grades!$E163:$AA163)/SUM($E$3:$AA$3), "")</f>
        <v/>
      </c>
    </row>
    <row r="164" spans="1:27" x14ac:dyDescent="0.2">
      <c r="A164" s="13"/>
      <c r="B164" s="13"/>
      <c r="C164" s="13"/>
      <c r="D164" s="19" t="str">
        <f>IF(SUM(Grades!$E164:$AA164)/SUM($E$3:$AA$3) &lt;&gt; 0, SUM(Grades!$E164:$AA164)/SUM($E$3:$AA$3), "")</f>
        <v/>
      </c>
      <c r="E164" s="43"/>
      <c r="F164" s="43"/>
      <c r="G164" s="43"/>
      <c r="H164" s="43"/>
      <c r="I164" s="43"/>
      <c r="J164" s="43"/>
      <c r="K164" s="43"/>
      <c r="L164" s="43"/>
      <c r="M164" s="4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</row>
    <row r="165" spans="1:27" x14ac:dyDescent="0.2">
      <c r="D165" s="18" t="str">
        <f>IF(SUM(Grades!$E165:$AA165)/SUM($E$3:$AA$3) &lt;&gt; 0, SUM(Grades!$E165:$AA165)/SUM($E$3:$AA$3), "")</f>
        <v/>
      </c>
    </row>
    <row r="166" spans="1:27" x14ac:dyDescent="0.2">
      <c r="A166" s="13"/>
      <c r="B166" s="13"/>
      <c r="C166" s="13"/>
      <c r="D166" s="19" t="str">
        <f>IF(SUM(Grades!$E166:$AA166)/SUM($E$3:$AA$3) &lt;&gt; 0, SUM(Grades!$E166:$AA166)/SUM($E$3:$AA$3), "")</f>
        <v/>
      </c>
      <c r="E166" s="43"/>
      <c r="F166" s="43"/>
      <c r="G166" s="43"/>
      <c r="H166" s="43"/>
      <c r="I166" s="43"/>
      <c r="J166" s="43"/>
      <c r="K166" s="43"/>
      <c r="L166" s="43"/>
      <c r="M166" s="4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</row>
    <row r="167" spans="1:27" x14ac:dyDescent="0.2">
      <c r="D167" s="18" t="str">
        <f>IF(SUM(Grades!$E167:$AA167)/SUM($E$3:$AA$3) &lt;&gt; 0, SUM(Grades!$E167:$AA167)/SUM($E$3:$AA$3), "")</f>
        <v/>
      </c>
    </row>
    <row r="168" spans="1:27" x14ac:dyDescent="0.2">
      <c r="A168" s="13"/>
      <c r="B168" s="13"/>
      <c r="C168" s="13"/>
      <c r="D168" s="19" t="str">
        <f>IF(SUM(Grades!$E168:$AA168)/SUM($E$3:$AA$3) &lt;&gt; 0, SUM(Grades!$E168:$AA168)/SUM($E$3:$AA$3), "")</f>
        <v/>
      </c>
      <c r="E168" s="43"/>
      <c r="F168" s="43"/>
      <c r="G168" s="43"/>
      <c r="H168" s="43"/>
      <c r="I168" s="43"/>
      <c r="J168" s="43"/>
      <c r="K168" s="43"/>
      <c r="L168" s="43"/>
      <c r="M168" s="4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</row>
    <row r="169" spans="1:27" x14ac:dyDescent="0.2">
      <c r="D169" s="18" t="str">
        <f>IF(SUM(Grades!$E169:$AA169)/SUM($E$3:$AA$3) &lt;&gt; 0, SUM(Grades!$E169:$AA169)/SUM($E$3:$AA$3), "")</f>
        <v/>
      </c>
    </row>
    <row r="170" spans="1:27" x14ac:dyDescent="0.2">
      <c r="A170" s="13"/>
      <c r="B170" s="13"/>
      <c r="C170" s="13"/>
      <c r="D170" s="19" t="str">
        <f>IF(SUM(Grades!$E170:$AA170)/SUM($E$3:$AA$3) &lt;&gt; 0, SUM(Grades!$E170:$AA170)/SUM($E$3:$AA$3), "")</f>
        <v/>
      </c>
      <c r="E170" s="43"/>
      <c r="F170" s="43"/>
      <c r="G170" s="43"/>
      <c r="H170" s="43"/>
      <c r="I170" s="43"/>
      <c r="J170" s="43"/>
      <c r="K170" s="43"/>
      <c r="L170" s="43"/>
      <c r="M170" s="4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</row>
    <row r="171" spans="1:27" x14ac:dyDescent="0.2">
      <c r="D171" s="18" t="str">
        <f>IF(SUM(Grades!$E171:$AA171)/SUM($E$3:$AA$3) &lt;&gt; 0, SUM(Grades!$E171:$AA171)/SUM($E$3:$AA$3), "")</f>
        <v/>
      </c>
    </row>
    <row r="172" spans="1:27" x14ac:dyDescent="0.2">
      <c r="A172" s="13"/>
      <c r="B172" s="13"/>
      <c r="C172" s="13"/>
      <c r="D172" s="19" t="str">
        <f>IF(SUM(Grades!$E172:$AA172)/SUM($E$3:$AA$3) &lt;&gt; 0, SUM(Grades!$E172:$AA172)/SUM($E$3:$AA$3), "")</f>
        <v/>
      </c>
      <c r="E172" s="43"/>
      <c r="F172" s="43"/>
      <c r="G172" s="43"/>
      <c r="H172" s="43"/>
      <c r="I172" s="43"/>
      <c r="J172" s="43"/>
      <c r="K172" s="43"/>
      <c r="L172" s="43"/>
      <c r="M172" s="4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</row>
    <row r="173" spans="1:27" x14ac:dyDescent="0.2">
      <c r="D173" s="18" t="str">
        <f>IF(SUM(Grades!$E173:$AA173)/SUM($E$3:$AA$3) &lt;&gt; 0, SUM(Grades!$E173:$AA173)/SUM($E$3:$AA$3), "")</f>
        <v/>
      </c>
    </row>
    <row r="174" spans="1:27" x14ac:dyDescent="0.2">
      <c r="A174" s="13"/>
      <c r="B174" s="13"/>
      <c r="C174" s="13"/>
      <c r="D174" s="19" t="str">
        <f>IF(SUM(Grades!$E174:$AA174)/SUM($E$3:$AA$3) &lt;&gt; 0, SUM(Grades!$E174:$AA174)/SUM($E$3:$AA$3), "")</f>
        <v/>
      </c>
      <c r="E174" s="43"/>
      <c r="F174" s="43"/>
      <c r="G174" s="43"/>
      <c r="H174" s="43"/>
      <c r="I174" s="43"/>
      <c r="J174" s="43"/>
      <c r="K174" s="43"/>
      <c r="L174" s="43"/>
      <c r="M174" s="4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</row>
    <row r="175" spans="1:27" x14ac:dyDescent="0.2">
      <c r="D175" s="18" t="str">
        <f>IF(SUM(Grades!$E175:$AA175)/SUM($E$3:$AA$3) &lt;&gt; 0, SUM(Grades!$E175:$AA175)/SUM($E$3:$AA$3), "")</f>
        <v/>
      </c>
    </row>
    <row r="176" spans="1:27" x14ac:dyDescent="0.2">
      <c r="A176" s="13"/>
      <c r="B176" s="13"/>
      <c r="C176" s="13"/>
      <c r="D176" s="19" t="str">
        <f>IF(SUM(Grades!$E176:$AA176)/SUM($E$3:$AA$3) &lt;&gt; 0, SUM(Grades!$E176:$AA176)/SUM($E$3:$AA$3), "")</f>
        <v/>
      </c>
      <c r="E176" s="43"/>
      <c r="F176" s="43"/>
      <c r="G176" s="43"/>
      <c r="H176" s="43"/>
      <c r="I176" s="43"/>
      <c r="J176" s="43"/>
      <c r="K176" s="43"/>
      <c r="L176" s="43"/>
      <c r="M176" s="4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</row>
    <row r="177" spans="1:27" x14ac:dyDescent="0.2">
      <c r="D177" s="18" t="str">
        <f>IF(SUM(Grades!$E177:$AA177)/SUM($E$3:$AA$3) &lt;&gt; 0, SUM(Grades!$E177:$AA177)/SUM($E$3:$AA$3), "")</f>
        <v/>
      </c>
    </row>
    <row r="178" spans="1:27" x14ac:dyDescent="0.2">
      <c r="A178" s="13"/>
      <c r="B178" s="13"/>
      <c r="C178" s="13"/>
      <c r="D178" s="19" t="str">
        <f>IF(SUM(Grades!$E178:$AA178)/SUM($E$3:$AA$3) &lt;&gt; 0, SUM(Grades!$E178:$AA178)/SUM($E$3:$AA$3), "")</f>
        <v/>
      </c>
      <c r="E178" s="43"/>
      <c r="F178" s="43"/>
      <c r="G178" s="43"/>
      <c r="H178" s="43"/>
      <c r="I178" s="43"/>
      <c r="J178" s="43"/>
      <c r="K178" s="43"/>
      <c r="L178" s="43"/>
      <c r="M178" s="4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</row>
    <row r="179" spans="1:27" x14ac:dyDescent="0.2">
      <c r="D179" s="18" t="str">
        <f>IF(SUM(Grades!$E179:$AA179)/SUM($E$3:$AA$3) &lt;&gt; 0, SUM(Grades!$E179:$AA179)/SUM($E$3:$AA$3), "")</f>
        <v/>
      </c>
    </row>
    <row r="180" spans="1:27" x14ac:dyDescent="0.2">
      <c r="A180" s="13"/>
      <c r="B180" s="13"/>
      <c r="C180" s="13"/>
      <c r="D180" s="19" t="str">
        <f>IF(SUM(Grades!$E180:$AA180)/SUM($E$3:$AA$3) &lt;&gt; 0, SUM(Grades!$E180:$AA180)/SUM($E$3:$AA$3), "")</f>
        <v/>
      </c>
      <c r="E180" s="43"/>
      <c r="F180" s="43"/>
      <c r="G180" s="43"/>
      <c r="H180" s="43"/>
      <c r="I180" s="43"/>
      <c r="J180" s="43"/>
      <c r="K180" s="43"/>
      <c r="L180" s="43"/>
      <c r="M180" s="4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</row>
    <row r="181" spans="1:27" x14ac:dyDescent="0.2">
      <c r="D181" s="18" t="str">
        <f>IF(SUM(Grades!$E181:$AA181)/SUM($E$3:$AA$3) &lt;&gt; 0, SUM(Grades!$E181:$AA181)/SUM($E$3:$AA$3), "")</f>
        <v/>
      </c>
    </row>
    <row r="182" spans="1:27" x14ac:dyDescent="0.2">
      <c r="A182" s="13"/>
      <c r="B182" s="13"/>
      <c r="C182" s="13"/>
      <c r="D182" s="19" t="str">
        <f>IF(SUM(Grades!$E182:$AA182)/SUM($E$3:$AA$3) &lt;&gt; 0, SUM(Grades!$E182:$AA182)/SUM($E$3:$AA$3), "")</f>
        <v/>
      </c>
      <c r="E182" s="43"/>
      <c r="F182" s="43"/>
      <c r="G182" s="43"/>
      <c r="H182" s="43"/>
      <c r="I182" s="43"/>
      <c r="J182" s="43"/>
      <c r="K182" s="43"/>
      <c r="L182" s="43"/>
      <c r="M182" s="4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</row>
    <row r="183" spans="1:27" x14ac:dyDescent="0.2">
      <c r="D183" s="18" t="str">
        <f>IF(SUM(Grades!$E183:$AA183)/SUM($E$3:$AA$3) &lt;&gt; 0, SUM(Grades!$E183:$AA183)/SUM($E$3:$AA$3), "")</f>
        <v/>
      </c>
    </row>
    <row r="184" spans="1:27" x14ac:dyDescent="0.2">
      <c r="A184" s="13"/>
      <c r="B184" s="13"/>
      <c r="C184" s="13"/>
      <c r="D184" s="19" t="str">
        <f>IF(SUM(Grades!$E184:$AA184)/SUM($E$3:$AA$3) &lt;&gt; 0, SUM(Grades!$E184:$AA184)/SUM($E$3:$AA$3), "")</f>
        <v/>
      </c>
      <c r="E184" s="43"/>
      <c r="F184" s="43"/>
      <c r="G184" s="43"/>
      <c r="H184" s="43"/>
      <c r="I184" s="43"/>
      <c r="J184" s="43"/>
      <c r="K184" s="43"/>
      <c r="L184" s="43"/>
      <c r="M184" s="4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</row>
    <row r="185" spans="1:27" x14ac:dyDescent="0.2">
      <c r="D185" s="18" t="str">
        <f>IF(SUM(Grades!$E185:$AA185)/SUM($E$3:$AA$3) &lt;&gt; 0, SUM(Grades!$E185:$AA185)/SUM($E$3:$AA$3), "")</f>
        <v/>
      </c>
    </row>
    <row r="186" spans="1:27" x14ac:dyDescent="0.2">
      <c r="A186" s="13"/>
      <c r="B186" s="13"/>
      <c r="C186" s="13"/>
      <c r="D186" s="19" t="str">
        <f>IF(SUM(Grades!$E186:$AA186)/SUM($E$3:$AA$3) &lt;&gt; 0, SUM(Grades!$E186:$AA186)/SUM($E$3:$AA$3), "")</f>
        <v/>
      </c>
      <c r="E186" s="43"/>
      <c r="F186" s="43"/>
      <c r="G186" s="43"/>
      <c r="H186" s="43"/>
      <c r="I186" s="43"/>
      <c r="J186" s="43"/>
      <c r="K186" s="43"/>
      <c r="L186" s="43"/>
      <c r="M186" s="4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</row>
    <row r="187" spans="1:27" x14ac:dyDescent="0.2">
      <c r="D187" s="18" t="str">
        <f>IF(SUM(Grades!$E187:$AA187)/SUM($E$3:$AA$3) &lt;&gt; 0, SUM(Grades!$E187:$AA187)/SUM($E$3:$AA$3), "")</f>
        <v/>
      </c>
    </row>
    <row r="188" spans="1:27" x14ac:dyDescent="0.2">
      <c r="A188" s="13"/>
      <c r="B188" s="13"/>
      <c r="C188" s="13"/>
      <c r="D188" s="19" t="str">
        <f>IF(SUM(Grades!$E188:$AA188)/SUM($E$3:$AA$3) &lt;&gt; 0, SUM(Grades!$E188:$AA188)/SUM($E$3:$AA$3), "")</f>
        <v/>
      </c>
      <c r="E188" s="43"/>
      <c r="F188" s="43"/>
      <c r="G188" s="43"/>
      <c r="H188" s="43"/>
      <c r="I188" s="43"/>
      <c r="J188" s="43"/>
      <c r="K188" s="43"/>
      <c r="L188" s="43"/>
      <c r="M188" s="4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</row>
    <row r="189" spans="1:27" x14ac:dyDescent="0.2">
      <c r="D189" s="18" t="str">
        <f>IF(SUM(Grades!$E189:$AA189)/SUM($E$3:$AA$3) &lt;&gt; 0, SUM(Grades!$E189:$AA189)/SUM($E$3:$AA$3), "")</f>
        <v/>
      </c>
    </row>
    <row r="190" spans="1:27" x14ac:dyDescent="0.2">
      <c r="A190" s="13"/>
      <c r="B190" s="13"/>
      <c r="C190" s="13"/>
      <c r="D190" s="19" t="str">
        <f>IF(SUM(Grades!$E190:$AA190)/SUM($E$3:$AA$3) &lt;&gt; 0, SUM(Grades!$E190:$AA190)/SUM($E$3:$AA$3), "")</f>
        <v/>
      </c>
      <c r="E190" s="43"/>
      <c r="F190" s="43"/>
      <c r="G190" s="43"/>
      <c r="H190" s="43"/>
      <c r="I190" s="43"/>
      <c r="J190" s="43"/>
      <c r="K190" s="43"/>
      <c r="L190" s="43"/>
      <c r="M190" s="4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</row>
    <row r="191" spans="1:27" x14ac:dyDescent="0.2">
      <c r="D191" s="18" t="str">
        <f>IF(SUM(Grades!$E191:$AA191)/SUM($E$3:$AA$3) &lt;&gt; 0, SUM(Grades!$E191:$AA191)/SUM($E$3:$AA$3), "")</f>
        <v/>
      </c>
    </row>
    <row r="192" spans="1:27" x14ac:dyDescent="0.2">
      <c r="A192" s="13"/>
      <c r="B192" s="13"/>
      <c r="C192" s="13"/>
      <c r="D192" s="19" t="str">
        <f>IF(SUM(Grades!$E192:$AA192)/SUM($E$3:$AA$3) &lt;&gt; 0, SUM(Grades!$E192:$AA192)/SUM($E$3:$AA$3), "")</f>
        <v/>
      </c>
      <c r="E192" s="43"/>
      <c r="F192" s="43"/>
      <c r="G192" s="43"/>
      <c r="H192" s="43"/>
      <c r="I192" s="43"/>
      <c r="J192" s="43"/>
      <c r="K192" s="43"/>
      <c r="L192" s="43"/>
      <c r="M192" s="4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</row>
    <row r="193" spans="1:27" x14ac:dyDescent="0.2">
      <c r="D193" s="18" t="str">
        <f>IF(SUM(Grades!$E193:$AA193)/SUM($E$3:$AA$3) &lt;&gt; 0, SUM(Grades!$E193:$AA193)/SUM($E$3:$AA$3), "")</f>
        <v/>
      </c>
    </row>
    <row r="194" spans="1:27" x14ac:dyDescent="0.2">
      <c r="A194" s="13"/>
      <c r="B194" s="13"/>
      <c r="C194" s="13"/>
      <c r="D194" s="19" t="str">
        <f>IF(SUM(Grades!$E194:$AA194)/SUM($E$3:$AA$3) &lt;&gt; 0, SUM(Grades!$E194:$AA194)/SUM($E$3:$AA$3), "")</f>
        <v/>
      </c>
      <c r="E194" s="43"/>
      <c r="F194" s="43"/>
      <c r="G194" s="43"/>
      <c r="H194" s="43"/>
      <c r="I194" s="43"/>
      <c r="J194" s="43"/>
      <c r="K194" s="43"/>
      <c r="L194" s="43"/>
      <c r="M194" s="4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</row>
    <row r="195" spans="1:27" x14ac:dyDescent="0.2">
      <c r="D195" s="18" t="str">
        <f>IF(SUM(Grades!$E195:$AA195)/SUM($E$3:$AA$3) &lt;&gt; 0, SUM(Grades!$E195:$AA195)/SUM($E$3:$AA$3), "")</f>
        <v/>
      </c>
    </row>
    <row r="196" spans="1:27" x14ac:dyDescent="0.2">
      <c r="A196" s="13"/>
      <c r="B196" s="13"/>
      <c r="C196" s="13"/>
      <c r="D196" s="19" t="str">
        <f>IF(SUM(Grades!$E196:$AA196)/SUM($E$3:$AA$3) &lt;&gt; 0, SUM(Grades!$E196:$AA196)/SUM($E$3:$AA$3), "")</f>
        <v/>
      </c>
      <c r="E196" s="43"/>
      <c r="F196" s="43"/>
      <c r="G196" s="43"/>
      <c r="H196" s="43"/>
      <c r="I196" s="43"/>
      <c r="J196" s="43"/>
      <c r="K196" s="43"/>
      <c r="L196" s="43"/>
      <c r="M196" s="4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</row>
    <row r="197" spans="1:27" x14ac:dyDescent="0.2">
      <c r="D197" s="18" t="str">
        <f>IF(SUM(Grades!$E197:$AA197)/SUM($E$3:$AA$3) &lt;&gt; 0, SUM(Grades!$E197:$AA197)/SUM($E$3:$AA$3), "")</f>
        <v/>
      </c>
    </row>
    <row r="198" spans="1:27" x14ac:dyDescent="0.2">
      <c r="A198" s="13"/>
      <c r="B198" s="13"/>
      <c r="C198" s="13"/>
      <c r="D198" s="19" t="str">
        <f>IF(SUM(Grades!$E198:$AA198)/SUM($E$3:$AA$3) &lt;&gt; 0, SUM(Grades!$E198:$AA198)/SUM($E$3:$AA$3), "")</f>
        <v/>
      </c>
      <c r="E198" s="43"/>
      <c r="F198" s="43"/>
      <c r="G198" s="43"/>
      <c r="H198" s="43"/>
      <c r="I198" s="43"/>
      <c r="J198" s="43"/>
      <c r="K198" s="43"/>
      <c r="L198" s="43"/>
      <c r="M198" s="4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</row>
    <row r="199" spans="1:27" x14ac:dyDescent="0.2">
      <c r="D199" s="18" t="str">
        <f>IF(SUM(Grades!$E199:$AA199)/SUM($E$3:$AA$3) &lt;&gt; 0, SUM(Grades!$E199:$AA199)/SUM($E$3:$AA$3), "")</f>
        <v/>
      </c>
    </row>
    <row r="200" spans="1:27" x14ac:dyDescent="0.2">
      <c r="A200" s="13"/>
      <c r="B200" s="13"/>
      <c r="C200" s="13"/>
      <c r="D200" s="19" t="str">
        <f>IF(SUM(Grades!$E200:$AA200)/SUM($E$3:$AA$3) &lt;&gt; 0, SUM(Grades!$E200:$AA200)/SUM($E$3:$AA$3), "")</f>
        <v/>
      </c>
      <c r="E200" s="43"/>
      <c r="F200" s="43"/>
      <c r="G200" s="43"/>
      <c r="H200" s="43"/>
      <c r="I200" s="43"/>
      <c r="J200" s="43"/>
      <c r="K200" s="43"/>
      <c r="L200" s="43"/>
      <c r="M200" s="4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</row>
    <row r="201" spans="1:27" x14ac:dyDescent="0.2">
      <c r="D201" s="18" t="str">
        <f>IF(SUM(Grades!$E201:$AA201)/SUM($E$3:$AA$3) &lt;&gt; 0, SUM(Grades!$E201:$AA201)/SUM($E$3:$AA$3), "")</f>
        <v/>
      </c>
    </row>
    <row r="202" spans="1:27" x14ac:dyDescent="0.2">
      <c r="A202" s="13"/>
      <c r="B202" s="13"/>
      <c r="C202" s="13"/>
      <c r="D202" s="19" t="str">
        <f>IF(SUM(Grades!$E202:$AA202)/SUM($E$3:$AA$3) &lt;&gt; 0, SUM(Grades!$E202:$AA202)/SUM($E$3:$AA$3), "")</f>
        <v/>
      </c>
      <c r="E202" s="43"/>
      <c r="F202" s="43"/>
      <c r="G202" s="43"/>
      <c r="H202" s="43"/>
      <c r="I202" s="43"/>
      <c r="J202" s="43"/>
      <c r="K202" s="43"/>
      <c r="L202" s="43"/>
      <c r="M202" s="4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</row>
    <row r="203" spans="1:27" x14ac:dyDescent="0.2">
      <c r="D203" s="18" t="str">
        <f>IF(SUM(Grades!$E203:$AA203)/SUM($E$3:$AA$3) &lt;&gt; 0, SUM(Grades!$E203:$AA203)/SUM($E$3:$AA$3), "")</f>
        <v/>
      </c>
    </row>
    <row r="204" spans="1:27" x14ac:dyDescent="0.2">
      <c r="A204" s="13"/>
      <c r="B204" s="13"/>
      <c r="C204" s="13"/>
      <c r="D204" s="19" t="str">
        <f>IF(SUM(Grades!$E204:$AA204)/SUM($E$3:$AA$3) &lt;&gt; 0, SUM(Grades!$E204:$AA204)/SUM($E$3:$AA$3), "")</f>
        <v/>
      </c>
      <c r="E204" s="43"/>
      <c r="F204" s="43"/>
      <c r="G204" s="43"/>
      <c r="H204" s="43"/>
      <c r="I204" s="43"/>
      <c r="J204" s="43"/>
      <c r="K204" s="43"/>
      <c r="L204" s="43"/>
      <c r="M204" s="4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</row>
    <row r="205" spans="1:27" x14ac:dyDescent="0.2">
      <c r="A205" s="14"/>
      <c r="B205" s="14"/>
      <c r="C205" s="14"/>
      <c r="D205" s="20" t="str">
        <f>IF(SUM(Grades!$E205:$AA205)/SUM($E$3:$AA$3) &lt;&gt; 0, SUM(Grades!$E205:$AA205)/SUM($E$3:$AA$3), "")</f>
        <v/>
      </c>
      <c r="E205" s="45"/>
      <c r="F205" s="45"/>
      <c r="G205" s="45"/>
      <c r="H205" s="45"/>
      <c r="I205" s="45"/>
      <c r="J205" s="45"/>
      <c r="K205" s="45"/>
      <c r="L205" s="45"/>
      <c r="M205" s="45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</row>
  </sheetData>
  <autoFilter ref="A5:AA205" xr:uid="{4C9795C6-1B6A-412F-81E5-C3424C3E363B}"/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800A-8017-4E8E-B036-83262287DCCE}">
  <sheetPr codeName="Sheet2"/>
  <dimension ref="A1:U12"/>
  <sheetViews>
    <sheetView showGridLines="0" workbookViewId="0">
      <selection activeCell="E6" sqref="E6"/>
    </sheetView>
  </sheetViews>
  <sheetFormatPr baseColWidth="10" defaultColWidth="0" defaultRowHeight="15" zeroHeight="1" x14ac:dyDescent="0.2"/>
  <cols>
    <col min="1" max="1" width="3.5" customWidth="1"/>
    <col min="2" max="2" width="3.6640625" customWidth="1"/>
    <col min="3" max="3" width="12.1640625" customWidth="1"/>
    <col min="4" max="4" width="17.5" customWidth="1"/>
    <col min="5" max="5" width="10.83203125" customWidth="1"/>
    <col min="6" max="19" width="8.83203125" customWidth="1"/>
    <col min="20" max="20" width="4" customWidth="1"/>
    <col min="21" max="21" width="3.1640625" customWidth="1"/>
    <col min="22" max="16384" width="8.83203125" hidden="1"/>
  </cols>
  <sheetData>
    <row r="1" spans="2:20" ht="16" thickBot="1" x14ac:dyDescent="0.25"/>
    <row r="2" spans="2:20" x14ac:dyDescent="0.2"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9"/>
    </row>
    <row r="3" spans="2:20" x14ac:dyDescent="0.2">
      <c r="B3" s="31"/>
      <c r="C3" s="11" t="s">
        <v>29</v>
      </c>
      <c r="D3" s="12" t="s">
        <v>119</v>
      </c>
      <c r="T3" s="30"/>
    </row>
    <row r="4" spans="2:20" x14ac:dyDescent="0.2">
      <c r="B4" s="31"/>
      <c r="C4" s="11" t="s">
        <v>30</v>
      </c>
      <c r="D4" s="12" t="s">
        <v>118</v>
      </c>
      <c r="T4" s="30"/>
    </row>
    <row r="5" spans="2:20" x14ac:dyDescent="0.2">
      <c r="B5" s="31"/>
      <c r="T5" s="30"/>
    </row>
    <row r="6" spans="2:20" x14ac:dyDescent="0.2">
      <c r="B6" s="31"/>
      <c r="D6" s="7" t="s">
        <v>0</v>
      </c>
      <c r="E6" s="8">
        <v>1</v>
      </c>
      <c r="F6" s="8">
        <v>2.1</v>
      </c>
      <c r="G6" s="8">
        <v>2.2000000000000002</v>
      </c>
      <c r="H6" s="8">
        <v>2.2999999999999998</v>
      </c>
      <c r="I6" s="8">
        <v>3.1</v>
      </c>
      <c r="J6" s="8">
        <v>3.2</v>
      </c>
      <c r="K6" s="8">
        <v>3.3</v>
      </c>
      <c r="L6" s="8">
        <v>4.0999999999999996</v>
      </c>
      <c r="M6" s="7">
        <v>4.2</v>
      </c>
      <c r="N6" s="8"/>
      <c r="O6" s="8"/>
      <c r="P6" s="8"/>
      <c r="Q6" s="8"/>
      <c r="R6" s="8"/>
      <c r="S6" s="8"/>
      <c r="T6" s="30"/>
    </row>
    <row r="7" spans="2:20" x14ac:dyDescent="0.2">
      <c r="B7" s="31"/>
      <c r="D7" s="7" t="s">
        <v>31</v>
      </c>
      <c r="E7" s="8">
        <v>2.5</v>
      </c>
      <c r="F7" s="8">
        <v>1.5</v>
      </c>
      <c r="G7" s="8">
        <v>0.5</v>
      </c>
      <c r="H7" s="8">
        <v>1</v>
      </c>
      <c r="I7" s="8">
        <v>1.5</v>
      </c>
      <c r="J7" s="8">
        <v>1</v>
      </c>
      <c r="K7" s="8">
        <v>0.5</v>
      </c>
      <c r="L7" s="8">
        <v>0.75</v>
      </c>
      <c r="M7" s="7">
        <v>0.75</v>
      </c>
      <c r="N7" s="8"/>
      <c r="O7" s="8"/>
      <c r="P7" s="8"/>
      <c r="Q7" s="8"/>
      <c r="R7" s="8"/>
      <c r="S7" s="8"/>
      <c r="T7" s="30"/>
    </row>
    <row r="8" spans="2:20" x14ac:dyDescent="0.2">
      <c r="B8" s="31"/>
      <c r="D8" s="9" t="s">
        <v>32</v>
      </c>
      <c r="E8" s="10">
        <v>1</v>
      </c>
      <c r="F8" s="10">
        <v>0</v>
      </c>
      <c r="G8" s="10">
        <v>0.1</v>
      </c>
      <c r="H8" s="10">
        <v>0.15</v>
      </c>
      <c r="I8" s="10">
        <v>0.75</v>
      </c>
      <c r="J8" s="10">
        <v>0.25</v>
      </c>
      <c r="K8" s="10">
        <v>0</v>
      </c>
      <c r="L8" s="10">
        <v>0</v>
      </c>
      <c r="M8" s="9">
        <v>0</v>
      </c>
      <c r="N8" s="10"/>
      <c r="O8" s="10"/>
      <c r="P8" s="10"/>
      <c r="Q8" s="10"/>
      <c r="R8" s="10"/>
      <c r="S8" s="10"/>
      <c r="T8" s="30"/>
    </row>
    <row r="9" spans="2:20" ht="16" thickBot="1" x14ac:dyDescent="0.25">
      <c r="B9" s="31"/>
      <c r="T9" s="30"/>
    </row>
    <row r="10" spans="2:20" ht="16" thickBot="1" x14ac:dyDescent="0.25">
      <c r="B10" s="31"/>
      <c r="D10" s="25" t="s">
        <v>41</v>
      </c>
      <c r="E10" s="26">
        <f>SUM(report_grades)</f>
        <v>2.25</v>
      </c>
      <c r="T10" s="30"/>
    </row>
    <row r="11" spans="2:20" ht="16" thickBot="1" x14ac:dyDescent="0.25">
      <c r="B11" s="32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4"/>
    </row>
    <row r="12" spans="2:20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Workflow</vt:lpstr>
      <vt:lpstr>Reportcontrol</vt:lpstr>
      <vt:lpstr>Filenames</vt:lpstr>
      <vt:lpstr>Grades</vt:lpstr>
      <vt:lpstr>StudentReport</vt:lpstr>
      <vt:lpstr>filenames</vt:lpstr>
      <vt:lpstr>grades</vt:lpstr>
      <vt:lpstr>max_points</vt:lpstr>
      <vt:lpstr>n_questions</vt:lpstr>
      <vt:lpstr>names</vt:lpstr>
      <vt:lpstr>questions</vt:lpstr>
      <vt:lpstr>report_description</vt:lpstr>
      <vt:lpstr>report_grades</vt:lpstr>
      <vt:lpstr>report_max_points</vt:lpstr>
      <vt:lpstr>report_name</vt:lpstr>
      <vt:lpstr>report_questions</vt:lpstr>
      <vt:lpstr>report_surname</vt:lpstr>
      <vt:lpstr>student_id</vt:lpstr>
      <vt:lpstr>surnames</vt:lpstr>
      <vt:lpstr>wdir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Garbayo de Pablo</dc:creator>
  <cp:lastModifiedBy>Juan Garbayo de Pablo</cp:lastModifiedBy>
  <dcterms:created xsi:type="dcterms:W3CDTF">2023-10-29T19:32:13Z</dcterms:created>
  <dcterms:modified xsi:type="dcterms:W3CDTF">2024-01-08T22:39:07Z</dcterms:modified>
</cp:coreProperties>
</file>