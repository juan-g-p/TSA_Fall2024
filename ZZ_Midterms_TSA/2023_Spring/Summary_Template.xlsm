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ang\Desktop\YY_midterm\"/>
    </mc:Choice>
  </mc:AlternateContent>
  <xr:revisionPtr revIDLastSave="0" documentId="13_ncr:1_{249DFC84-9D97-4E7E-89EC-D42DA14DAB89}" xr6:coauthVersionLast="47" xr6:coauthVersionMax="47" xr10:uidLastSave="{00000000-0000-0000-0000-000000000000}"/>
  <bookViews>
    <workbookView xWindow="-108" yWindow="-108" windowWidth="23256" windowHeight="12456" tabRatio="601" xr2:uid="{00000000-000D-0000-FFFF-FFFF00000000}"/>
  </bookViews>
  <sheets>
    <sheet name="summary" sheetId="1" r:id="rId1"/>
    <sheet name="student_names" sheetId="6" r:id="rId2"/>
    <sheet name="st_template" sheetId="2" r:id="rId3"/>
    <sheet name="TSmidterm_ACamarena" sheetId="32" r:id="rId4"/>
    <sheet name="TSmidterm_JCastelo" sheetId="33" r:id="rId5"/>
    <sheet name="TSmidterm_DLarrañaga" sheetId="34" r:id="rId6"/>
    <sheet name="TSmidterm_MDiarra" sheetId="35" r:id="rId7"/>
    <sheet name="TSmidterm_FMartin" sheetId="36" r:id="rId8"/>
    <sheet name="TSmidterm_NFeiger" sheetId="37" r:id="rId9"/>
    <sheet name="TSmidterm_SGonzalez" sheetId="38" r:id="rId10"/>
    <sheet name="TSmidterm_FJimenez" sheetId="39" r:id="rId11"/>
    <sheet name="TSmidterm_VLopez" sheetId="40" r:id="rId12"/>
    <sheet name="TSmidterm_EMarmolejos" sheetId="41" r:id="rId13"/>
    <sheet name="TSmidterm_SMartinez" sheetId="42" r:id="rId14"/>
    <sheet name="TSmidterm_EMeier" sheetId="43" r:id="rId15"/>
    <sheet name="TSmidterm_AOcariz" sheetId="44" r:id="rId16"/>
    <sheet name="TSmidterm_TPloquin" sheetId="45" r:id="rId17"/>
    <sheet name="TSmidterm_SRos" sheetId="46" r:id="rId18"/>
    <sheet name="TSmidterm_DSaldarriaga" sheetId="47" r:id="rId19"/>
    <sheet name="TSmidterm_JTasende" sheetId="48" r:id="rId20"/>
    <sheet name="TSmidterm_SVásquez" sheetId="49" r:id="rId21"/>
    <sheet name="TSmidterm_DVillalain" sheetId="50" r:id="rId22"/>
  </sheets>
  <definedNames>
    <definedName name="answer_col" localSheetId="2">st_template!$C$6</definedName>
    <definedName name="answer_col" localSheetId="3">TSmidterm_ACamarena!$C$6</definedName>
    <definedName name="answer_col" localSheetId="15">TSmidterm_AOcariz!$C$6</definedName>
    <definedName name="answer_col" localSheetId="5">TSmidterm_DLarrañaga!$C$6</definedName>
    <definedName name="answer_col" localSheetId="18">TSmidterm_DSaldarriaga!$C$6</definedName>
    <definedName name="answer_col" localSheetId="21">TSmidterm_DVillalain!$C$6</definedName>
    <definedName name="answer_col" localSheetId="12">TSmidterm_EMarmolejos!$C$6</definedName>
    <definedName name="answer_col" localSheetId="14">TSmidterm_EMeier!$C$6</definedName>
    <definedName name="answer_col" localSheetId="10">TSmidterm_FJimenez!$C$6</definedName>
    <definedName name="answer_col" localSheetId="7">TSmidterm_FMartin!$C$6</definedName>
    <definedName name="answer_col" localSheetId="4">TSmidterm_JCastelo!$C$6</definedName>
    <definedName name="answer_col" localSheetId="19">TSmidterm_JTasende!$C$6</definedName>
    <definedName name="answer_col" localSheetId="6">TSmidterm_MDiarra!$C$6</definedName>
    <definedName name="answer_col" localSheetId="8">TSmidterm_NFeiger!$C$6</definedName>
    <definedName name="answer_col" localSheetId="9">TSmidterm_SGonzalez!$C$6</definedName>
    <definedName name="answer_col" localSheetId="13">TSmidterm_SMartinez!$C$6</definedName>
    <definedName name="answer_col" localSheetId="17">TSmidterm_SRos!$C$6</definedName>
    <definedName name="answer_col" localSheetId="20">TSmidterm_SVásquez!$C$6</definedName>
    <definedName name="answer_col" localSheetId="16">TSmidterm_TPloquin!$C$6</definedName>
    <definedName name="answer_col" localSheetId="11">TSmidterm_VLopez!$C$6</definedName>
    <definedName name="assignment_file" localSheetId="1">student_names!$B$3</definedName>
    <definedName name="assignment_id" localSheetId="2">st_template!$B$1</definedName>
    <definedName name="assignment_id" localSheetId="1">student_names!$B$2</definedName>
    <definedName name="assignment_id" localSheetId="3">TSmidterm_ACamarena!$B$1</definedName>
    <definedName name="assignment_id" localSheetId="15">TSmidterm_AOcariz!$B$1</definedName>
    <definedName name="assignment_id" localSheetId="5">TSmidterm_DLarrañaga!$B$1</definedName>
    <definedName name="assignment_id" localSheetId="18">TSmidterm_DSaldarriaga!$B$1</definedName>
    <definedName name="assignment_id" localSheetId="21">TSmidterm_DVillalain!$B$1</definedName>
    <definedName name="assignment_id" localSheetId="12">TSmidterm_EMarmolejos!$B$1</definedName>
    <definedName name="assignment_id" localSheetId="14">TSmidterm_EMeier!$B$1</definedName>
    <definedName name="assignment_id" localSheetId="10">TSmidterm_FJimenez!$B$1</definedName>
    <definedName name="assignment_id" localSheetId="7">TSmidterm_FMartin!$B$1</definedName>
    <definedName name="assignment_id" localSheetId="4">TSmidterm_JCastelo!$B$1</definedName>
    <definedName name="assignment_id" localSheetId="19">TSmidterm_JTasende!$B$1</definedName>
    <definedName name="assignment_id" localSheetId="6">TSmidterm_MDiarra!$B$1</definedName>
    <definedName name="assignment_id" localSheetId="8">TSmidterm_NFeiger!$B$1</definedName>
    <definedName name="assignment_id" localSheetId="9">TSmidterm_SGonzalez!$B$1</definedName>
    <definedName name="assignment_id" localSheetId="13">TSmidterm_SMartinez!$B$1</definedName>
    <definedName name="assignment_id" localSheetId="17">TSmidterm_SRos!$B$1</definedName>
    <definedName name="assignment_id" localSheetId="20">TSmidterm_SVásquez!$B$1</definedName>
    <definedName name="assignment_id" localSheetId="16">TSmidterm_TPloquin!$B$1</definedName>
    <definedName name="assignment_id" localSheetId="11">TSmidterm_VLopez!$B$1</definedName>
    <definedName name="feedback_col" localSheetId="2">st_template!$G$6</definedName>
    <definedName name="feedback_col" localSheetId="3">TSmidterm_ACamarena!$G$6</definedName>
    <definedName name="feedback_col" localSheetId="15">TSmidterm_AOcariz!$G$6</definedName>
    <definedName name="feedback_col" localSheetId="5">TSmidterm_DLarrañaga!$G$6</definedName>
    <definedName name="feedback_col" localSheetId="18">TSmidterm_DSaldarriaga!$G$6</definedName>
    <definedName name="feedback_col" localSheetId="21">TSmidterm_DVillalain!$G$6</definedName>
    <definedName name="feedback_col" localSheetId="12">TSmidterm_EMarmolejos!$G$6</definedName>
    <definedName name="feedback_col" localSheetId="14">TSmidterm_EMeier!$G$6</definedName>
    <definedName name="feedback_col" localSheetId="10">TSmidterm_FJimenez!$G$6</definedName>
    <definedName name="feedback_col" localSheetId="7">TSmidterm_FMartin!$G$6</definedName>
    <definedName name="feedback_col" localSheetId="4">TSmidterm_JCastelo!$G$6</definedName>
    <definedName name="feedback_col" localSheetId="19">TSmidterm_JTasende!$G$6</definedName>
    <definedName name="feedback_col" localSheetId="6">TSmidterm_MDiarra!$G$6</definedName>
    <definedName name="feedback_col" localSheetId="8">TSmidterm_NFeiger!$G$6</definedName>
    <definedName name="feedback_col" localSheetId="9">TSmidterm_SGonzalez!$G$6</definedName>
    <definedName name="feedback_col" localSheetId="13">TSmidterm_SMartinez!$G$6</definedName>
    <definedName name="feedback_col" localSheetId="17">TSmidterm_SRos!$G$6</definedName>
    <definedName name="feedback_col" localSheetId="20">TSmidterm_SVásquez!$G$6</definedName>
    <definedName name="feedback_col" localSheetId="16">TSmidterm_TPloquin!$G$6</definedName>
    <definedName name="feedback_col" localSheetId="11">TSmidterm_VLopez!$G$6</definedName>
    <definedName name="filenames" localSheetId="1">student_names!$C$6:$C$61</definedName>
    <definedName name="filesname" localSheetId="2">st_template!$B$4</definedName>
    <definedName name="filesname" localSheetId="3">TSmidterm_ACamarena!$B$4</definedName>
    <definedName name="filesname" localSheetId="15">TSmidterm_AOcariz!$B$4</definedName>
    <definedName name="filesname" localSheetId="5">TSmidterm_DLarrañaga!$B$4</definedName>
    <definedName name="filesname" localSheetId="18">TSmidterm_DSaldarriaga!$B$4</definedName>
    <definedName name="filesname" localSheetId="21">TSmidterm_DVillalain!$B$4</definedName>
    <definedName name="filesname" localSheetId="12">TSmidterm_EMarmolejos!$B$4</definedName>
    <definedName name="filesname" localSheetId="14">TSmidterm_EMeier!$B$4</definedName>
    <definedName name="filesname" localSheetId="10">TSmidterm_FJimenez!$B$4</definedName>
    <definedName name="filesname" localSheetId="7">TSmidterm_FMartin!$B$4</definedName>
    <definedName name="filesname" localSheetId="4">TSmidterm_JCastelo!$B$4</definedName>
    <definedName name="filesname" localSheetId="19">TSmidterm_JTasende!$B$4</definedName>
    <definedName name="filesname" localSheetId="6">TSmidterm_MDiarra!$B$4</definedName>
    <definedName name="filesname" localSheetId="8">TSmidterm_NFeiger!$B$4</definedName>
    <definedName name="filesname" localSheetId="9">TSmidterm_SGonzalez!$B$4</definedName>
    <definedName name="filesname" localSheetId="13">TSmidterm_SMartinez!$B$4</definedName>
    <definedName name="filesname" localSheetId="17">TSmidterm_SRos!$B$4</definedName>
    <definedName name="filesname" localSheetId="20">TSmidterm_SVásquez!$B$4</definedName>
    <definedName name="filesname" localSheetId="16">TSmidterm_TPloquin!$B$4</definedName>
    <definedName name="filesname" localSheetId="11">TSmidterm_VLopez!$B$4</definedName>
    <definedName name="grade_col" localSheetId="2">st_template!$F$6</definedName>
    <definedName name="grade_col" localSheetId="3">TSmidterm_ACamarena!$F$6</definedName>
    <definedName name="grade_col" localSheetId="15">TSmidterm_AOcariz!$F$6</definedName>
    <definedName name="grade_col" localSheetId="5">TSmidterm_DLarrañaga!$F$6</definedName>
    <definedName name="grade_col" localSheetId="18">TSmidterm_DSaldarriaga!$F$6</definedName>
    <definedName name="grade_col" localSheetId="21">TSmidterm_DVillalain!$F$6</definedName>
    <definedName name="grade_col" localSheetId="12">TSmidterm_EMarmolejos!$F$6</definedName>
    <definedName name="grade_col" localSheetId="14">TSmidterm_EMeier!$F$6</definedName>
    <definedName name="grade_col" localSheetId="10">TSmidterm_FJimenez!$F$6</definedName>
    <definedName name="grade_col" localSheetId="7">TSmidterm_FMartin!$F$6</definedName>
    <definedName name="grade_col" localSheetId="4">TSmidterm_JCastelo!$F$6</definedName>
    <definedName name="grade_col" localSheetId="19">TSmidterm_JTasende!$F$6</definedName>
    <definedName name="grade_col" localSheetId="6">TSmidterm_MDiarra!$F$6</definedName>
    <definedName name="grade_col" localSheetId="8">TSmidterm_NFeiger!$F$6</definedName>
    <definedName name="grade_col" localSheetId="9">TSmidterm_SGonzalez!$F$6</definedName>
    <definedName name="grade_col" localSheetId="13">TSmidterm_SMartinez!$F$6</definedName>
    <definedName name="grade_col" localSheetId="17">TSmidterm_SRos!$F$6</definedName>
    <definedName name="grade_col" localSheetId="20">TSmidterm_SVásquez!$F$6</definedName>
    <definedName name="grade_col" localSheetId="16">TSmidterm_TPloquin!$F$6</definedName>
    <definedName name="grade_col" localSheetId="11">TSmidterm_VLopez!$F$6</definedName>
    <definedName name="grades_start">summary!$C$2</definedName>
    <definedName name="max_grade_col" localSheetId="2">st_template!$B$6</definedName>
    <definedName name="max_grade_col" localSheetId="3">TSmidterm_ACamarena!$B$6</definedName>
    <definedName name="max_grade_col" localSheetId="15">TSmidterm_AOcariz!$B$6</definedName>
    <definedName name="max_grade_col" localSheetId="5">TSmidterm_DLarrañaga!$B$6</definedName>
    <definedName name="max_grade_col" localSheetId="18">TSmidterm_DSaldarriaga!$B$6</definedName>
    <definedName name="max_grade_col" localSheetId="21">TSmidterm_DVillalain!$B$6</definedName>
    <definedName name="max_grade_col" localSheetId="12">TSmidterm_EMarmolejos!$B$6</definedName>
    <definedName name="max_grade_col" localSheetId="14">TSmidterm_EMeier!$B$6</definedName>
    <definedName name="max_grade_col" localSheetId="10">TSmidterm_FJimenez!$B$6</definedName>
    <definedName name="max_grade_col" localSheetId="7">TSmidterm_FMartin!$B$6</definedName>
    <definedName name="max_grade_col" localSheetId="4">TSmidterm_JCastelo!$B$6</definedName>
    <definedName name="max_grade_col" localSheetId="19">TSmidterm_JTasende!$B$6</definedName>
    <definedName name="max_grade_col" localSheetId="6">TSmidterm_MDiarra!$B$6</definedName>
    <definedName name="max_grade_col" localSheetId="8">TSmidterm_NFeiger!$B$6</definedName>
    <definedName name="max_grade_col" localSheetId="9">TSmidterm_SGonzalez!$B$6</definedName>
    <definedName name="max_grade_col" localSheetId="13">TSmidterm_SMartinez!$B$6</definedName>
    <definedName name="max_grade_col" localSheetId="17">TSmidterm_SRos!$B$6</definedName>
    <definedName name="max_grade_col" localSheetId="20">TSmidterm_SVásquez!$B$6</definedName>
    <definedName name="max_grade_col" localSheetId="16">TSmidterm_TPloquin!$B$6</definedName>
    <definedName name="max_grade_col" localSheetId="11">TSmidterm_VLopez!$B$6</definedName>
    <definedName name="max_grade_col">summary!$B$1</definedName>
    <definedName name="names" localSheetId="1">student_names!$A$6:$A$61</definedName>
    <definedName name="names_start">summary!$C$1</definedName>
    <definedName name="section_col" localSheetId="2">st_template!$A$6</definedName>
    <definedName name="section_col" localSheetId="3">TSmidterm_ACamarena!$A$6</definedName>
    <definedName name="section_col" localSheetId="15">TSmidterm_AOcariz!$A$6</definedName>
    <definedName name="section_col" localSheetId="5">TSmidterm_DLarrañaga!$A$6</definedName>
    <definedName name="section_col" localSheetId="18">TSmidterm_DSaldarriaga!$A$6</definedName>
    <definedName name="section_col" localSheetId="21">TSmidterm_DVillalain!$A$6</definedName>
    <definedName name="section_col" localSheetId="12">TSmidterm_EMarmolejos!$A$6</definedName>
    <definedName name="section_col" localSheetId="14">TSmidterm_EMeier!$A$6</definedName>
    <definedName name="section_col" localSheetId="10">TSmidterm_FJimenez!$A$6</definedName>
    <definedName name="section_col" localSheetId="7">TSmidterm_FMartin!$A$6</definedName>
    <definedName name="section_col" localSheetId="4">TSmidterm_JCastelo!$A$6</definedName>
    <definedName name="section_col" localSheetId="19">TSmidterm_JTasende!$A$6</definedName>
    <definedName name="section_col" localSheetId="6">TSmidterm_MDiarra!$A$6</definedName>
    <definedName name="section_col" localSheetId="8">TSmidterm_NFeiger!$A$6</definedName>
    <definedName name="section_col" localSheetId="9">TSmidterm_SGonzalez!$A$6</definedName>
    <definedName name="section_col" localSheetId="13">TSmidterm_SMartinez!$A$6</definedName>
    <definedName name="section_col" localSheetId="17">TSmidterm_SRos!$A$6</definedName>
    <definedName name="section_col" localSheetId="20">TSmidterm_SVásquez!$A$6</definedName>
    <definedName name="section_col" localSheetId="16">TSmidterm_TPloquin!$A$6</definedName>
    <definedName name="section_col" localSheetId="11">TSmidterm_VLopez!$A$6</definedName>
    <definedName name="section_col">summary!$A$1</definedName>
    <definedName name="student_name" localSheetId="2">st_template!$B$2</definedName>
    <definedName name="student_name" localSheetId="3">TSmidterm_ACamarena!$B$2</definedName>
    <definedName name="student_name" localSheetId="15">TSmidterm_AOcariz!$B$2</definedName>
    <definedName name="student_name" localSheetId="5">TSmidterm_DLarrañaga!$B$2</definedName>
    <definedName name="student_name" localSheetId="18">TSmidterm_DSaldarriaga!$B$2</definedName>
    <definedName name="student_name" localSheetId="21">TSmidterm_DVillalain!$B$2</definedName>
    <definedName name="student_name" localSheetId="12">TSmidterm_EMarmolejos!$B$2</definedName>
    <definedName name="student_name" localSheetId="14">TSmidterm_EMeier!$B$2</definedName>
    <definedName name="student_name" localSheetId="10">TSmidterm_FJimenez!$B$2</definedName>
    <definedName name="student_name" localSheetId="7">TSmidterm_FMartin!$B$2</definedName>
    <definedName name="student_name" localSheetId="4">TSmidterm_JCastelo!$B$2</definedName>
    <definedName name="student_name" localSheetId="19">TSmidterm_JTasende!$B$2</definedName>
    <definedName name="student_name" localSheetId="6">TSmidterm_MDiarra!$B$2</definedName>
    <definedName name="student_name" localSheetId="8">TSmidterm_NFeiger!$B$2</definedName>
    <definedName name="student_name" localSheetId="9">TSmidterm_SGonzalez!$B$2</definedName>
    <definedName name="student_name" localSheetId="13">TSmidterm_SMartinez!$B$2</definedName>
    <definedName name="student_name" localSheetId="17">TSmidterm_SRos!$B$2</definedName>
    <definedName name="student_name" localSheetId="20">TSmidterm_SVásquez!$B$2</definedName>
    <definedName name="student_name" localSheetId="16">TSmidterm_TPloquin!$B$2</definedName>
    <definedName name="student_name" localSheetId="11">TSmidterm_VLopez!$B$2</definedName>
    <definedName name="student_surname" localSheetId="2">st_template!$B$3</definedName>
    <definedName name="student_surname" localSheetId="3">TSmidterm_ACamarena!$B$3</definedName>
    <definedName name="student_surname" localSheetId="15">TSmidterm_AOcariz!$B$3</definedName>
    <definedName name="student_surname" localSheetId="5">TSmidterm_DLarrañaga!$B$3</definedName>
    <definedName name="student_surname" localSheetId="18">TSmidterm_DSaldarriaga!$B$3</definedName>
    <definedName name="student_surname" localSheetId="21">TSmidterm_DVillalain!$B$3</definedName>
    <definedName name="student_surname" localSheetId="12">TSmidterm_EMarmolejos!$B$3</definedName>
    <definedName name="student_surname" localSheetId="14">TSmidterm_EMeier!$B$3</definedName>
    <definedName name="student_surname" localSheetId="10">TSmidterm_FJimenez!$B$3</definedName>
    <definedName name="student_surname" localSheetId="7">TSmidterm_FMartin!$B$3</definedName>
    <definedName name="student_surname" localSheetId="4">TSmidterm_JCastelo!$B$3</definedName>
    <definedName name="student_surname" localSheetId="19">TSmidterm_JTasende!$B$3</definedName>
    <definedName name="student_surname" localSheetId="6">TSmidterm_MDiarra!$B$3</definedName>
    <definedName name="student_surname" localSheetId="8">TSmidterm_NFeiger!$B$3</definedName>
    <definedName name="student_surname" localSheetId="9">TSmidterm_SGonzalez!$B$3</definedName>
    <definedName name="student_surname" localSheetId="13">TSmidterm_SMartinez!$B$3</definedName>
    <definedName name="student_surname" localSheetId="17">TSmidterm_SRos!$B$3</definedName>
    <definedName name="student_surname" localSheetId="20">TSmidterm_SVásquez!$B$3</definedName>
    <definedName name="student_surname" localSheetId="16">TSmidterm_TPloquin!$B$3</definedName>
    <definedName name="student_surname" localSheetId="11">TSmidterm_VLopez!$B$3</definedName>
    <definedName name="surnames" localSheetId="1">student_names!$B$6:$B$61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5" i="50" l="1"/>
  <c r="B25" i="50"/>
  <c r="B1" i="50"/>
  <c r="B4" i="50" s="1"/>
  <c r="F25" i="49"/>
  <c r="B25" i="49"/>
  <c r="B1" i="49"/>
  <c r="B4" i="49" s="1"/>
  <c r="F25" i="48"/>
  <c r="B25" i="48"/>
  <c r="B1" i="48"/>
  <c r="B4" i="48" s="1"/>
  <c r="F25" i="47"/>
  <c r="B25" i="47"/>
  <c r="B1" i="47"/>
  <c r="B4" i="47" s="1"/>
  <c r="F25" i="46"/>
  <c r="B25" i="46"/>
  <c r="B1" i="46"/>
  <c r="B4" i="46" s="1"/>
  <c r="F25" i="45"/>
  <c r="B25" i="45"/>
  <c r="B1" i="45"/>
  <c r="B4" i="45" s="1"/>
  <c r="F25" i="44"/>
  <c r="B25" i="44"/>
  <c r="B1" i="44"/>
  <c r="B4" i="44" s="1"/>
  <c r="F25" i="43"/>
  <c r="B25" i="43"/>
  <c r="B1" i="43"/>
  <c r="B4" i="43" s="1"/>
  <c r="F25" i="42"/>
  <c r="B25" i="42"/>
  <c r="B1" i="42"/>
  <c r="B4" i="42" s="1"/>
  <c r="F25" i="41"/>
  <c r="B25" i="41"/>
  <c r="B1" i="41"/>
  <c r="B4" i="41" s="1"/>
  <c r="F25" i="40"/>
  <c r="B25" i="40"/>
  <c r="B1" i="40"/>
  <c r="B4" i="40" s="1"/>
  <c r="F25" i="39"/>
  <c r="B25" i="39"/>
  <c r="B1" i="39"/>
  <c r="B4" i="39" s="1"/>
  <c r="F25" i="38"/>
  <c r="B25" i="38"/>
  <c r="B1" i="38"/>
  <c r="B4" i="38" s="1"/>
  <c r="F25" i="37"/>
  <c r="B25" i="37"/>
  <c r="B1" i="37"/>
  <c r="B4" i="37" s="1"/>
  <c r="F25" i="36"/>
  <c r="B25" i="36"/>
  <c r="B1" i="36"/>
  <c r="B4" i="36" s="1"/>
  <c r="F25" i="35"/>
  <c r="B25" i="35"/>
  <c r="B1" i="35"/>
  <c r="B4" i="35" s="1"/>
  <c r="F25" i="34"/>
  <c r="B25" i="34"/>
  <c r="B1" i="34"/>
  <c r="B4" i="34" s="1"/>
  <c r="F25" i="33"/>
  <c r="B25" i="33"/>
  <c r="B1" i="33"/>
  <c r="B4" i="33" s="1"/>
  <c r="F25" i="32"/>
  <c r="B25" i="32"/>
  <c r="B1" i="32"/>
  <c r="B4" i="32" s="1"/>
  <c r="B1" i="2"/>
  <c r="B4" i="2" s="1"/>
  <c r="B25" i="2"/>
  <c r="F25" i="2"/>
  <c r="C12" i="6"/>
  <c r="C7" i="6"/>
  <c r="C8" i="6"/>
  <c r="C9" i="6"/>
  <c r="C10" i="6"/>
  <c r="C11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60" i="6"/>
  <c r="C61" i="6"/>
  <c r="C6" i="6"/>
</calcChain>
</file>

<file path=xl/sharedStrings.xml><?xml version="1.0" encoding="utf-8"?>
<sst xmlns="http://schemas.openxmlformats.org/spreadsheetml/2006/main" count="1246" uniqueCount="77">
  <si>
    <t>Total</t>
  </si>
  <si>
    <t>Max</t>
  </si>
  <si>
    <t>Section</t>
  </si>
  <si>
    <t>Assignment_ID</t>
  </si>
  <si>
    <t>Name</t>
  </si>
  <si>
    <t>Student4</t>
  </si>
  <si>
    <t>Surname</t>
  </si>
  <si>
    <t>Surname4</t>
  </si>
  <si>
    <t>Stundents answer</t>
  </si>
  <si>
    <t>n_words</t>
  </si>
  <si>
    <t>max words</t>
  </si>
  <si>
    <t>Grade</t>
  </si>
  <si>
    <t>Feedback</t>
  </si>
  <si>
    <t>Names</t>
  </si>
  <si>
    <t>Surnames</t>
  </si>
  <si>
    <t>Filename</t>
  </si>
  <si>
    <t>Assignment</t>
  </si>
  <si>
    <t>Formula</t>
  </si>
  <si>
    <t>Input</t>
  </si>
  <si>
    <t>filename</t>
  </si>
  <si>
    <t>-</t>
  </si>
  <si>
    <t>ARTURO</t>
  </si>
  <si>
    <t>DIEGO</t>
  </si>
  <si>
    <t>MOHAMED</t>
  </si>
  <si>
    <t>FACUNDO</t>
  </si>
  <si>
    <t>NOAH</t>
  </si>
  <si>
    <t>SOFIA</t>
  </si>
  <si>
    <t>FRANCISCO</t>
  </si>
  <si>
    <t>VALERIA</t>
  </si>
  <si>
    <t>EDWIN</t>
  </si>
  <si>
    <t>ELARD</t>
  </si>
  <si>
    <t>ANA</t>
  </si>
  <si>
    <t>TOMAS</t>
  </si>
  <si>
    <t>STEPHANIE</t>
  </si>
  <si>
    <t>DANIELA</t>
  </si>
  <si>
    <t>JUAN</t>
  </si>
  <si>
    <t>SEBASTIAN</t>
  </si>
  <si>
    <t>DANIEL</t>
  </si>
  <si>
    <t>JMARIA</t>
  </si>
  <si>
    <t>S_ISABELLA</t>
  </si>
  <si>
    <t>Camarena</t>
  </si>
  <si>
    <t>Castelo</t>
  </si>
  <si>
    <t>Larrañaga</t>
  </si>
  <si>
    <t>Diarra</t>
  </si>
  <si>
    <t>Martin</t>
  </si>
  <si>
    <t>Feiger</t>
  </si>
  <si>
    <t>Gonzalez</t>
  </si>
  <si>
    <t>Jimenez</t>
  </si>
  <si>
    <t>Lopez</t>
  </si>
  <si>
    <t>Marmolejos</t>
  </si>
  <si>
    <t>Martinez</t>
  </si>
  <si>
    <t>Meier</t>
  </si>
  <si>
    <t>Ocariz</t>
  </si>
  <si>
    <t>Ploquin</t>
  </si>
  <si>
    <t>Ros</t>
  </si>
  <si>
    <t>Saldarriaga</t>
  </si>
  <si>
    <t>Tasende</t>
  </si>
  <si>
    <t>Vásquez</t>
  </si>
  <si>
    <t>Villalain</t>
  </si>
  <si>
    <t>2_1</t>
  </si>
  <si>
    <t>2_2</t>
  </si>
  <si>
    <t>2_3</t>
  </si>
  <si>
    <t>3_1</t>
  </si>
  <si>
    <t>ZZ_Midterm_BDBA_2022Fall_Students.qmd</t>
  </si>
  <si>
    <t>TSmidterm</t>
  </si>
  <si>
    <t>2_4</t>
  </si>
  <si>
    <t>3_2</t>
  </si>
  <si>
    <t>3_3</t>
  </si>
  <si>
    <t>4_1</t>
  </si>
  <si>
    <t>4_2</t>
  </si>
  <si>
    <t>4_3</t>
  </si>
  <si>
    <t>4_4</t>
  </si>
  <si>
    <t>4_5</t>
  </si>
  <si>
    <t>5_1</t>
  </si>
  <si>
    <t>5_2</t>
  </si>
  <si>
    <t>5_3</t>
  </si>
  <si>
    <t>5_4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</si>
</sst>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2" fontId="1" fillId="2" borderId="1" xfId="0" applyNumberFormat="1" applyFont="1" applyFill="1" applyBorder="1"/>
    <xf numFmtId="2" fontId="0" fillId="2" borderId="0" xfId="0" applyNumberFormat="1" applyFill="1"/>
    <xf numFmtId="2" fontId="0" fillId="0" borderId="0" xfId="0" applyNumberFormat="1"/>
    <xf numFmtId="2" fontId="1" fillId="2" borderId="4" xfId="0" applyNumberFormat="1" applyFont="1" applyFill="1" applyBorder="1" applyAlignment="1">
      <alignment horizontal="center"/>
    </xf>
    <xf numFmtId="2" fontId="1" fillId="2" borderId="5" xfId="0" applyNumberFormat="1" applyFont="1" applyFill="1" applyBorder="1" applyAlignment="1">
      <alignment horizontal="center" vertical="top"/>
    </xf>
    <xf numFmtId="2" fontId="1" fillId="2" borderId="5" xfId="0" applyNumberFormat="1" applyFont="1" applyFill="1" applyBorder="1" applyAlignment="1">
      <alignment horizontal="center"/>
    </xf>
    <xf numFmtId="2" fontId="1" fillId="2" borderId="6" xfId="0" applyNumberFormat="1" applyFont="1" applyFill="1" applyBorder="1" applyAlignment="1">
      <alignment horizontal="left"/>
    </xf>
    <xf numFmtId="2" fontId="0" fillId="2" borderId="1" xfId="0" applyNumberFormat="1" applyFill="1" applyBorder="1" applyAlignment="1">
      <alignment horizontal="left" vertical="top"/>
    </xf>
    <xf numFmtId="2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/>
    </xf>
    <xf numFmtId="2" fontId="0" fillId="2" borderId="8" xfId="0" applyNumberFormat="1" applyFill="1" applyBorder="1" applyAlignment="1">
      <alignment horizontal="left" vertical="top"/>
    </xf>
    <xf numFmtId="2" fontId="1" fillId="2" borderId="1" xfId="0" applyNumberFormat="1" applyFont="1" applyFill="1" applyBorder="1" applyAlignment="1">
      <alignment horizontal="center"/>
    </xf>
    <xf numFmtId="0" fontId="1" fillId="0" borderId="1" xfId="0" applyFont="1" applyBorder="1"/>
    <xf numFmtId="0" fontId="0" fillId="4" borderId="1" xfId="0" applyFill="1" applyBorder="1"/>
    <xf numFmtId="0" fontId="0" fillId="5" borderId="1" xfId="0" applyFill="1" applyBorder="1"/>
    <xf numFmtId="0" fontId="0" fillId="0" borderId="0" xfId="0" applyBorder="1"/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2" fontId="0" fillId="4" borderId="1" xfId="0" applyNumberFormat="1" applyFill="1" applyBorder="1" applyAlignment="1">
      <alignment horizontal="center"/>
    </xf>
    <xf numFmtId="0" fontId="1" fillId="0" borderId="12" xfId="0" applyFont="1" applyBorder="1"/>
    <xf numFmtId="0" fontId="0" fillId="0" borderId="12" xfId="0" applyFont="1" applyBorder="1"/>
    <xf numFmtId="1" fontId="0" fillId="2" borderId="7" xfId="0" applyNumberFormat="1" applyFill="1" applyBorder="1" applyAlignment="1">
      <alignment horizontal="center" vertical="top"/>
    </xf>
    <xf numFmtId="2" fontId="0" fillId="2" borderId="2" xfId="0" applyNumberFormat="1" applyFill="1" applyBorder="1" applyAlignment="1">
      <alignment horizontal="left" vertical="top"/>
    </xf>
    <xf numFmtId="0" fontId="0" fillId="0" borderId="1" xfId="0" applyBorder="1"/>
    <xf numFmtId="2" fontId="1" fillId="2" borderId="2" xfId="0" applyNumberFormat="1" applyFont="1" applyFill="1" applyBorder="1" applyAlignment="1">
      <alignment horizontal="left" vertical="top"/>
    </xf>
    <xf numFmtId="0" fontId="1" fillId="0" borderId="1" xfId="0" applyFont="1" applyBorder="1" applyAlignment="1">
      <alignment horizontal="center"/>
    </xf>
    <xf numFmtId="0" fontId="0" fillId="0" borderId="1" xfId="0" applyFont="1" applyBorder="1" applyAlignment="1">
      <alignment horizontal="left"/>
    </xf>
    <xf numFmtId="2" fontId="0" fillId="3" borderId="1" xfId="0" applyNumberFormat="1" applyFill="1" applyBorder="1" applyAlignment="1">
      <alignment horizontal="left" vertical="top"/>
    </xf>
    <xf numFmtId="2" fontId="0" fillId="3" borderId="2" xfId="0" applyNumberFormat="1" applyFill="1" applyBorder="1" applyAlignment="1">
      <alignment horizontal="left" vertical="top"/>
    </xf>
    <xf numFmtId="2" fontId="0" fillId="3" borderId="3" xfId="0" applyNumberForma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19"/>
  <sheetViews>
    <sheetView tabSelected="1" zoomScaleNormal="100" workbookViewId="0">
      <selection activeCell="B15" sqref="B15"/>
    </sheetView>
  </sheetViews>
  <sheetFormatPr defaultRowHeight="14.4" x14ac:dyDescent="0.3"/>
  <cols>
    <col min="1" max="1" width="9.44140625" bestFit="1" customWidth="1"/>
    <col min="3" max="3" width="11" customWidth="1"/>
    <col min="4" max="4" width="10.33203125" customWidth="1"/>
    <col min="5" max="5" width="11.5546875" customWidth="1"/>
    <col min="6" max="6" width="11" customWidth="1"/>
    <col min="7" max="7" width="12" customWidth="1"/>
    <col min="8" max="8" width="10.88671875" customWidth="1"/>
    <col min="9" max="9" width="11.6640625" customWidth="1"/>
  </cols>
  <sheetData>
    <row r="1" spans="1:37" x14ac:dyDescent="0.3">
      <c r="A1" s="27" t="s">
        <v>2</v>
      </c>
      <c r="B1" s="27" t="s">
        <v>1</v>
      </c>
      <c r="C1" s="13"/>
      <c r="D1" s="13"/>
      <c r="E1" s="13"/>
      <c r="F1" s="13"/>
      <c r="G1" s="13"/>
      <c r="H1" s="13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</row>
    <row r="2" spans="1:37" x14ac:dyDescent="0.3">
      <c r="A2" s="23">
        <v>1</v>
      </c>
      <c r="B2" s="24">
        <v>1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</row>
    <row r="3" spans="1:37" x14ac:dyDescent="0.3">
      <c r="A3" s="23" t="s">
        <v>59</v>
      </c>
      <c r="B3" s="24">
        <v>0.5</v>
      </c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</row>
    <row r="4" spans="1:37" x14ac:dyDescent="0.3">
      <c r="A4" s="23" t="s">
        <v>60</v>
      </c>
      <c r="B4" s="24">
        <v>0.5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</row>
    <row r="5" spans="1:37" x14ac:dyDescent="0.3">
      <c r="A5" s="23" t="s">
        <v>61</v>
      </c>
      <c r="B5" s="24">
        <v>0.5</v>
      </c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</row>
    <row r="6" spans="1:37" x14ac:dyDescent="0.3">
      <c r="A6" s="23" t="s">
        <v>65</v>
      </c>
      <c r="B6" s="24">
        <v>0.5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</row>
    <row r="7" spans="1:37" x14ac:dyDescent="0.3">
      <c r="A7" s="23" t="s">
        <v>62</v>
      </c>
      <c r="B7" s="24">
        <v>0.66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</row>
    <row r="8" spans="1:37" x14ac:dyDescent="0.3">
      <c r="A8" s="23" t="s">
        <v>66</v>
      </c>
      <c r="B8" s="24">
        <v>0.67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</row>
    <row r="9" spans="1:37" x14ac:dyDescent="0.3">
      <c r="A9" s="23" t="s">
        <v>67</v>
      </c>
      <c r="B9" s="24">
        <v>0.67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</row>
    <row r="10" spans="1:37" x14ac:dyDescent="0.3">
      <c r="A10" s="23" t="s">
        <v>68</v>
      </c>
      <c r="B10" s="24">
        <v>0.25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</row>
    <row r="11" spans="1:37" x14ac:dyDescent="0.3">
      <c r="A11" s="23" t="s">
        <v>69</v>
      </c>
      <c r="B11" s="24">
        <v>0.25</v>
      </c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</row>
    <row r="12" spans="1:37" x14ac:dyDescent="0.3">
      <c r="A12" s="23" t="s">
        <v>70</v>
      </c>
      <c r="B12" s="24">
        <v>0.5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</row>
    <row r="13" spans="1:37" x14ac:dyDescent="0.3">
      <c r="A13" s="23" t="s">
        <v>71</v>
      </c>
      <c r="B13" s="24">
        <v>0.75</v>
      </c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</row>
    <row r="14" spans="1:37" x14ac:dyDescent="0.3">
      <c r="A14" s="23" t="s">
        <v>72</v>
      </c>
      <c r="B14" s="24">
        <v>0.75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</row>
    <row r="15" spans="1:37" x14ac:dyDescent="0.3">
      <c r="A15" s="23" t="s">
        <v>73</v>
      </c>
      <c r="B15" s="24">
        <v>0.5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</row>
    <row r="16" spans="1:37" x14ac:dyDescent="0.3">
      <c r="A16" s="23" t="s">
        <v>74</v>
      </c>
      <c r="B16" s="24">
        <v>0.5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</row>
    <row r="17" spans="1:37" x14ac:dyDescent="0.3">
      <c r="A17" s="23" t="s">
        <v>75</v>
      </c>
      <c r="B17" s="24">
        <v>0.75</v>
      </c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</row>
    <row r="18" spans="1:37" x14ac:dyDescent="0.3">
      <c r="A18" s="23" t="s">
        <v>76</v>
      </c>
      <c r="B18" s="24">
        <v>0.75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</row>
    <row r="19" spans="1:37" x14ac:dyDescent="0.3">
      <c r="B19" s="26" t="s">
        <v>0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B0971-C89F-4F36-999D-A236429EEA8F}">
  <sheetPr codeName="Sheet2"/>
  <dimension ref="A2:F62"/>
  <sheetViews>
    <sheetView workbookViewId="0">
      <selection activeCell="C9" sqref="C9"/>
    </sheetView>
  </sheetViews>
  <sheetFormatPr defaultRowHeight="14.4" x14ac:dyDescent="0.3"/>
  <cols>
    <col min="1" max="1" width="13.88671875" bestFit="1" customWidth="1"/>
    <col min="2" max="2" width="14.5546875" customWidth="1"/>
    <col min="3" max="3" width="28.33203125" customWidth="1"/>
  </cols>
  <sheetData>
    <row r="2" spans="1:6" x14ac:dyDescent="0.3">
      <c r="A2" s="21" t="s">
        <v>16</v>
      </c>
      <c r="B2" s="22" t="s">
        <v>64</v>
      </c>
    </row>
    <row r="3" spans="1:6" x14ac:dyDescent="0.3">
      <c r="A3" s="13" t="s">
        <v>19</v>
      </c>
      <c r="B3" s="28" t="s">
        <v>63</v>
      </c>
      <c r="C3" s="28"/>
      <c r="D3" s="28"/>
      <c r="E3" s="28"/>
      <c r="F3" s="28"/>
    </row>
    <row r="4" spans="1:6" ht="15" thickBot="1" x14ac:dyDescent="0.35"/>
    <row r="5" spans="1:6" x14ac:dyDescent="0.3">
      <c r="A5" s="17" t="s">
        <v>13</v>
      </c>
      <c r="B5" s="18" t="s">
        <v>14</v>
      </c>
      <c r="C5" s="19" t="s">
        <v>15</v>
      </c>
      <c r="E5" s="14" t="s">
        <v>18</v>
      </c>
    </row>
    <row r="6" spans="1:6" x14ac:dyDescent="0.3">
      <c r="A6" s="14" t="s">
        <v>21</v>
      </c>
      <c r="B6" s="14" t="s">
        <v>40</v>
      </c>
      <c r="C6" s="15" t="str">
        <f t="shared" ref="C6:C37" si="0">IF(ISBLANK(A6), "", assignment_id &amp; "_" &amp; LEFT(SUBSTITUTE(A6, " ", ""), 1) &amp; SUBSTITUTE(B6, " ", ""))</f>
        <v>TSmidterm_ACamarena</v>
      </c>
      <c r="E6" s="15" t="s">
        <v>17</v>
      </c>
    </row>
    <row r="7" spans="1:6" x14ac:dyDescent="0.3">
      <c r="A7" s="14" t="s">
        <v>38</v>
      </c>
      <c r="B7" s="14" t="s">
        <v>41</v>
      </c>
      <c r="C7" s="15" t="str">
        <f t="shared" si="0"/>
        <v>TSmidterm_JCastelo</v>
      </c>
    </row>
    <row r="8" spans="1:6" x14ac:dyDescent="0.3">
      <c r="A8" s="14" t="s">
        <v>22</v>
      </c>
      <c r="B8" s="14" t="s">
        <v>42</v>
      </c>
      <c r="C8" s="15" t="str">
        <f t="shared" si="0"/>
        <v>TSmidterm_DLarrañaga</v>
      </c>
    </row>
    <row r="9" spans="1:6" x14ac:dyDescent="0.3">
      <c r="A9" s="14" t="s">
        <v>23</v>
      </c>
      <c r="B9" s="14" t="s">
        <v>43</v>
      </c>
      <c r="C9" s="15" t="str">
        <f t="shared" si="0"/>
        <v>TSmidterm_MDiarra</v>
      </c>
    </row>
    <row r="10" spans="1:6" x14ac:dyDescent="0.3">
      <c r="A10" s="14" t="s">
        <v>24</v>
      </c>
      <c r="B10" s="14" t="s">
        <v>44</v>
      </c>
      <c r="C10" s="15" t="str">
        <f t="shared" si="0"/>
        <v>TSmidterm_FMartin</v>
      </c>
    </row>
    <row r="11" spans="1:6" x14ac:dyDescent="0.3">
      <c r="A11" s="14" t="s">
        <v>25</v>
      </c>
      <c r="B11" s="14" t="s">
        <v>45</v>
      </c>
      <c r="C11" s="15" t="str">
        <f t="shared" si="0"/>
        <v>TSmidterm_NFeiger</v>
      </c>
    </row>
    <row r="12" spans="1:6" x14ac:dyDescent="0.3">
      <c r="A12" s="14" t="s">
        <v>26</v>
      </c>
      <c r="B12" s="14" t="s">
        <v>46</v>
      </c>
      <c r="C12" s="15" t="str">
        <f t="shared" si="0"/>
        <v>TSmidterm_SGonzalez</v>
      </c>
    </row>
    <row r="13" spans="1:6" x14ac:dyDescent="0.3">
      <c r="A13" s="14" t="s">
        <v>27</v>
      </c>
      <c r="B13" s="14" t="s">
        <v>47</v>
      </c>
      <c r="C13" s="15" t="str">
        <f t="shared" si="0"/>
        <v>TSmidterm_FJimenez</v>
      </c>
    </row>
    <row r="14" spans="1:6" x14ac:dyDescent="0.3">
      <c r="A14" s="14" t="s">
        <v>28</v>
      </c>
      <c r="B14" s="14" t="s">
        <v>48</v>
      </c>
      <c r="C14" s="15" t="str">
        <f t="shared" si="0"/>
        <v>TSmidterm_VLopez</v>
      </c>
    </row>
    <row r="15" spans="1:6" x14ac:dyDescent="0.3">
      <c r="A15" s="14" t="s">
        <v>29</v>
      </c>
      <c r="B15" s="14" t="s">
        <v>49</v>
      </c>
      <c r="C15" s="15" t="str">
        <f t="shared" si="0"/>
        <v>TSmidterm_EMarmolejos</v>
      </c>
    </row>
    <row r="16" spans="1:6" x14ac:dyDescent="0.3">
      <c r="A16" s="14" t="s">
        <v>39</v>
      </c>
      <c r="B16" s="14" t="s">
        <v>50</v>
      </c>
      <c r="C16" s="15" t="str">
        <f t="shared" si="0"/>
        <v>TSmidterm_SMartinez</v>
      </c>
    </row>
    <row r="17" spans="1:3" x14ac:dyDescent="0.3">
      <c r="A17" s="14" t="s">
        <v>30</v>
      </c>
      <c r="B17" s="14" t="s">
        <v>51</v>
      </c>
      <c r="C17" s="15" t="str">
        <f t="shared" si="0"/>
        <v>TSmidterm_EMeier</v>
      </c>
    </row>
    <row r="18" spans="1:3" x14ac:dyDescent="0.3">
      <c r="A18" s="14" t="s">
        <v>31</v>
      </c>
      <c r="B18" s="14" t="s">
        <v>52</v>
      </c>
      <c r="C18" s="15" t="str">
        <f t="shared" si="0"/>
        <v>TSmidterm_AOcariz</v>
      </c>
    </row>
    <row r="19" spans="1:3" x14ac:dyDescent="0.3">
      <c r="A19" s="14" t="s">
        <v>32</v>
      </c>
      <c r="B19" s="14" t="s">
        <v>53</v>
      </c>
      <c r="C19" s="15" t="str">
        <f t="shared" si="0"/>
        <v>TSmidterm_TPloquin</v>
      </c>
    </row>
    <row r="20" spans="1:3" x14ac:dyDescent="0.3">
      <c r="A20" s="14" t="s">
        <v>33</v>
      </c>
      <c r="B20" s="14" t="s">
        <v>54</v>
      </c>
      <c r="C20" s="15" t="str">
        <f t="shared" si="0"/>
        <v>TSmidterm_SRos</v>
      </c>
    </row>
    <row r="21" spans="1:3" x14ac:dyDescent="0.3">
      <c r="A21" s="14" t="s">
        <v>34</v>
      </c>
      <c r="B21" s="14" t="s">
        <v>55</v>
      </c>
      <c r="C21" s="15" t="str">
        <f t="shared" si="0"/>
        <v>TSmidterm_DSaldarriaga</v>
      </c>
    </row>
    <row r="22" spans="1:3" x14ac:dyDescent="0.3">
      <c r="A22" s="14" t="s">
        <v>35</v>
      </c>
      <c r="B22" s="14" t="s">
        <v>56</v>
      </c>
      <c r="C22" s="15" t="str">
        <f t="shared" si="0"/>
        <v>TSmidterm_JTasende</v>
      </c>
    </row>
    <row r="23" spans="1:3" x14ac:dyDescent="0.3">
      <c r="A23" s="14" t="s">
        <v>36</v>
      </c>
      <c r="B23" s="14" t="s">
        <v>57</v>
      </c>
      <c r="C23" s="15" t="str">
        <f t="shared" si="0"/>
        <v>TSmidterm_SVásquez</v>
      </c>
    </row>
    <row r="24" spans="1:3" x14ac:dyDescent="0.3">
      <c r="A24" s="14" t="s">
        <v>37</v>
      </c>
      <c r="B24" s="14" t="s">
        <v>58</v>
      </c>
      <c r="C24" s="15" t="str">
        <f t="shared" si="0"/>
        <v>TSmidterm_DVillalain</v>
      </c>
    </row>
    <row r="25" spans="1:3" x14ac:dyDescent="0.3">
      <c r="A25" s="14"/>
      <c r="B25" s="14"/>
      <c r="C25" s="15" t="str">
        <f t="shared" si="0"/>
        <v/>
      </c>
    </row>
    <row r="26" spans="1:3" x14ac:dyDescent="0.3">
      <c r="A26" s="14"/>
      <c r="B26" s="14"/>
      <c r="C26" s="15" t="str">
        <f t="shared" si="0"/>
        <v/>
      </c>
    </row>
    <row r="27" spans="1:3" x14ac:dyDescent="0.3">
      <c r="A27" s="14"/>
      <c r="B27" s="14"/>
      <c r="C27" s="15" t="str">
        <f t="shared" si="0"/>
        <v/>
      </c>
    </row>
    <row r="28" spans="1:3" x14ac:dyDescent="0.3">
      <c r="A28" s="14"/>
      <c r="B28" s="14"/>
      <c r="C28" s="15" t="str">
        <f t="shared" si="0"/>
        <v/>
      </c>
    </row>
    <row r="29" spans="1:3" x14ac:dyDescent="0.3">
      <c r="A29" s="14"/>
      <c r="B29" s="14"/>
      <c r="C29" s="15" t="str">
        <f t="shared" si="0"/>
        <v/>
      </c>
    </row>
    <row r="30" spans="1:3" x14ac:dyDescent="0.3">
      <c r="A30" s="14"/>
      <c r="B30" s="14"/>
      <c r="C30" s="15" t="str">
        <f t="shared" si="0"/>
        <v/>
      </c>
    </row>
    <row r="31" spans="1:3" x14ac:dyDescent="0.3">
      <c r="A31" s="14"/>
      <c r="B31" s="14"/>
      <c r="C31" s="15" t="str">
        <f t="shared" si="0"/>
        <v/>
      </c>
    </row>
    <row r="32" spans="1:3" x14ac:dyDescent="0.3">
      <c r="A32" s="14"/>
      <c r="B32" s="14"/>
      <c r="C32" s="15" t="str">
        <f t="shared" si="0"/>
        <v/>
      </c>
    </row>
    <row r="33" spans="1:3" x14ac:dyDescent="0.3">
      <c r="A33" s="14"/>
      <c r="B33" s="14"/>
      <c r="C33" s="15" t="str">
        <f t="shared" si="0"/>
        <v/>
      </c>
    </row>
    <row r="34" spans="1:3" x14ac:dyDescent="0.3">
      <c r="A34" s="14"/>
      <c r="B34" s="14"/>
      <c r="C34" s="15" t="str">
        <f t="shared" si="0"/>
        <v/>
      </c>
    </row>
    <row r="35" spans="1:3" x14ac:dyDescent="0.3">
      <c r="A35" s="14"/>
      <c r="B35" s="14"/>
      <c r="C35" s="15" t="str">
        <f t="shared" si="0"/>
        <v/>
      </c>
    </row>
    <row r="36" spans="1:3" x14ac:dyDescent="0.3">
      <c r="A36" s="14"/>
      <c r="B36" s="14"/>
      <c r="C36" s="15" t="str">
        <f t="shared" si="0"/>
        <v/>
      </c>
    </row>
    <row r="37" spans="1:3" x14ac:dyDescent="0.3">
      <c r="A37" s="14"/>
      <c r="B37" s="14"/>
      <c r="C37" s="15" t="str">
        <f t="shared" si="0"/>
        <v/>
      </c>
    </row>
    <row r="38" spans="1:3" x14ac:dyDescent="0.3">
      <c r="A38" s="14"/>
      <c r="B38" s="14"/>
      <c r="C38" s="15" t="str">
        <f t="shared" ref="C38:C57" si="1">IF(ISBLANK(A38), "", assignment_id &amp; "_" &amp; LEFT(SUBSTITUTE(A38, " ", ""), 1) &amp; SUBSTITUTE(B38, " ", ""))</f>
        <v/>
      </c>
    </row>
    <row r="39" spans="1:3" x14ac:dyDescent="0.3">
      <c r="A39" s="14"/>
      <c r="B39" s="14"/>
      <c r="C39" s="15" t="str">
        <f t="shared" si="1"/>
        <v/>
      </c>
    </row>
    <row r="40" spans="1:3" x14ac:dyDescent="0.3">
      <c r="A40" s="14"/>
      <c r="B40" s="14"/>
      <c r="C40" s="15" t="str">
        <f t="shared" si="1"/>
        <v/>
      </c>
    </row>
    <row r="41" spans="1:3" x14ac:dyDescent="0.3">
      <c r="A41" s="14"/>
      <c r="B41" s="14"/>
      <c r="C41" s="15" t="str">
        <f t="shared" si="1"/>
        <v/>
      </c>
    </row>
    <row r="42" spans="1:3" x14ac:dyDescent="0.3">
      <c r="A42" s="14"/>
      <c r="B42" s="14"/>
      <c r="C42" s="15" t="str">
        <f t="shared" si="1"/>
        <v/>
      </c>
    </row>
    <row r="43" spans="1:3" x14ac:dyDescent="0.3">
      <c r="A43" s="14"/>
      <c r="B43" s="14"/>
      <c r="C43" s="15" t="str">
        <f t="shared" si="1"/>
        <v/>
      </c>
    </row>
    <row r="44" spans="1:3" x14ac:dyDescent="0.3">
      <c r="A44" s="14"/>
      <c r="B44" s="14"/>
      <c r="C44" s="15" t="str">
        <f t="shared" si="1"/>
        <v/>
      </c>
    </row>
    <row r="45" spans="1:3" x14ac:dyDescent="0.3">
      <c r="A45" s="14"/>
      <c r="B45" s="14"/>
      <c r="C45" s="15" t="str">
        <f t="shared" si="1"/>
        <v/>
      </c>
    </row>
    <row r="46" spans="1:3" x14ac:dyDescent="0.3">
      <c r="A46" s="14"/>
      <c r="B46" s="14"/>
      <c r="C46" s="15" t="str">
        <f t="shared" si="1"/>
        <v/>
      </c>
    </row>
    <row r="47" spans="1:3" x14ac:dyDescent="0.3">
      <c r="A47" s="14"/>
      <c r="B47" s="14"/>
      <c r="C47" s="15" t="str">
        <f t="shared" si="1"/>
        <v/>
      </c>
    </row>
    <row r="48" spans="1:3" x14ac:dyDescent="0.3">
      <c r="A48" s="14"/>
      <c r="B48" s="14"/>
      <c r="C48" s="15" t="str">
        <f t="shared" si="1"/>
        <v/>
      </c>
    </row>
    <row r="49" spans="1:3" x14ac:dyDescent="0.3">
      <c r="A49" s="14"/>
      <c r="B49" s="14"/>
      <c r="C49" s="15" t="str">
        <f t="shared" si="1"/>
        <v/>
      </c>
    </row>
    <row r="50" spans="1:3" x14ac:dyDescent="0.3">
      <c r="A50" s="14"/>
      <c r="B50" s="14"/>
      <c r="C50" s="15" t="str">
        <f t="shared" si="1"/>
        <v/>
      </c>
    </row>
    <row r="51" spans="1:3" x14ac:dyDescent="0.3">
      <c r="A51" s="14"/>
      <c r="B51" s="14"/>
      <c r="C51" s="15" t="str">
        <f t="shared" si="1"/>
        <v/>
      </c>
    </row>
    <row r="52" spans="1:3" x14ac:dyDescent="0.3">
      <c r="A52" s="14"/>
      <c r="B52" s="14"/>
      <c r="C52" s="15" t="str">
        <f t="shared" si="1"/>
        <v/>
      </c>
    </row>
    <row r="53" spans="1:3" x14ac:dyDescent="0.3">
      <c r="A53" s="14"/>
      <c r="B53" s="14"/>
      <c r="C53" s="15" t="str">
        <f t="shared" si="1"/>
        <v/>
      </c>
    </row>
    <row r="54" spans="1:3" x14ac:dyDescent="0.3">
      <c r="A54" s="14"/>
      <c r="B54" s="14"/>
      <c r="C54" s="15" t="str">
        <f t="shared" si="1"/>
        <v/>
      </c>
    </row>
    <row r="55" spans="1:3" x14ac:dyDescent="0.3">
      <c r="A55" s="14"/>
      <c r="B55" s="14"/>
      <c r="C55" s="15" t="str">
        <f t="shared" si="1"/>
        <v/>
      </c>
    </row>
    <row r="56" spans="1:3" x14ac:dyDescent="0.3">
      <c r="A56" s="14"/>
      <c r="B56" s="14"/>
      <c r="C56" s="15" t="str">
        <f t="shared" si="1"/>
        <v/>
      </c>
    </row>
    <row r="57" spans="1:3" x14ac:dyDescent="0.3">
      <c r="A57" s="14"/>
      <c r="B57" s="14"/>
      <c r="C57" s="15" t="str">
        <f t="shared" si="1"/>
        <v/>
      </c>
    </row>
    <row r="58" spans="1:3" x14ac:dyDescent="0.3">
      <c r="A58" s="14"/>
      <c r="B58" s="14"/>
      <c r="C58" s="15"/>
    </row>
    <row r="59" spans="1:3" x14ac:dyDescent="0.3">
      <c r="A59" s="14"/>
      <c r="B59" s="14"/>
      <c r="C59" s="15"/>
    </row>
    <row r="60" spans="1:3" x14ac:dyDescent="0.3">
      <c r="A60" s="14"/>
      <c r="B60" s="14"/>
      <c r="C60" s="15" t="str">
        <f>IF(ISBLANK(A60), "", assignment_id &amp; "_" &amp; LEFT(SUBSTITUTE(A60, " ", ""), 1) &amp; SUBSTITUTE(B60, " ", ""))</f>
        <v/>
      </c>
    </row>
    <row r="61" spans="1:3" x14ac:dyDescent="0.3">
      <c r="A61" s="14"/>
      <c r="B61" s="14"/>
      <c r="C61" s="15" t="str">
        <f>IF(ISBLANK(A61), "", assignment_id &amp; "_" &amp; LEFT(SUBSTITUTE(A61, " ", ""), 1) &amp; SUBSTITUTE(B61, " ", ""))</f>
        <v/>
      </c>
    </row>
    <row r="62" spans="1:3" x14ac:dyDescent="0.3">
      <c r="C62" s="16"/>
    </row>
  </sheetData>
  <mergeCells count="1">
    <mergeCell ref="B3:F3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7D664-D5B0-48C7-B3F8-6D3F17E165B7}">
  <sheetPr codeName="Sheet3"/>
  <dimension ref="A1:K59"/>
  <sheetViews>
    <sheetView topLeftCell="A6" zoomScale="115" zoomScaleNormal="115" workbookViewId="0">
      <selection activeCell="A7" sqref="A7:B23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TSmidterm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5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7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TSmidterm_SSurname4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>
        <v>1</v>
      </c>
      <c r="B7" s="8">
        <v>1</v>
      </c>
      <c r="C7" s="8"/>
      <c r="D7" s="9" t="s">
        <v>20</v>
      </c>
      <c r="E7" s="9" t="s">
        <v>20</v>
      </c>
      <c r="F7" s="10"/>
      <c r="G7" s="11"/>
    </row>
    <row r="8" spans="1:7" x14ac:dyDescent="0.3">
      <c r="A8" s="23" t="s">
        <v>59</v>
      </c>
      <c r="B8" s="8">
        <v>0.5</v>
      </c>
      <c r="C8" s="8"/>
      <c r="D8" s="9" t="s">
        <v>20</v>
      </c>
      <c r="E8" s="9" t="s">
        <v>20</v>
      </c>
      <c r="F8" s="10"/>
      <c r="G8" s="11"/>
    </row>
    <row r="9" spans="1:7" x14ac:dyDescent="0.3">
      <c r="A9" s="23" t="s">
        <v>60</v>
      </c>
      <c r="B9" s="8">
        <v>0.5</v>
      </c>
      <c r="C9" s="8"/>
      <c r="D9" s="9" t="s">
        <v>20</v>
      </c>
      <c r="E9" s="9" t="s">
        <v>20</v>
      </c>
      <c r="F9" s="10"/>
      <c r="G9" s="11"/>
    </row>
    <row r="10" spans="1:7" x14ac:dyDescent="0.3">
      <c r="A10" s="23" t="s">
        <v>61</v>
      </c>
      <c r="B10" s="8">
        <v>0.5</v>
      </c>
      <c r="C10" s="8"/>
      <c r="D10" s="9" t="s">
        <v>20</v>
      </c>
      <c r="E10" s="9" t="s">
        <v>20</v>
      </c>
      <c r="F10" s="10"/>
      <c r="G10" s="11"/>
    </row>
    <row r="11" spans="1:7" x14ac:dyDescent="0.3">
      <c r="A11" s="23" t="s">
        <v>65</v>
      </c>
      <c r="B11" s="8">
        <v>0.5</v>
      </c>
      <c r="C11" s="8"/>
      <c r="D11" s="9" t="s">
        <v>20</v>
      </c>
      <c r="E11" s="9" t="s">
        <v>20</v>
      </c>
      <c r="F11" s="10"/>
      <c r="G11" s="11"/>
    </row>
    <row r="12" spans="1:7" x14ac:dyDescent="0.3">
      <c r="A12" s="23" t="s">
        <v>62</v>
      </c>
      <c r="B12" s="8">
        <v>0.66</v>
      </c>
      <c r="C12" s="8"/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0.67</v>
      </c>
      <c r="C13" s="8"/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0.67</v>
      </c>
      <c r="C14" s="8"/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0.25</v>
      </c>
      <c r="C15" s="8"/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0.25</v>
      </c>
      <c r="C16" s="8"/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/>
      <c r="D17" s="9" t="s">
        <v>20</v>
      </c>
      <c r="E17" s="9" t="s">
        <v>20</v>
      </c>
      <c r="F17" s="10"/>
      <c r="G17" s="11"/>
    </row>
    <row r="18" spans="1:7" x14ac:dyDescent="0.3">
      <c r="A18" s="23" t="s">
        <v>71</v>
      </c>
      <c r="B18" s="8">
        <v>0.75</v>
      </c>
      <c r="C18" s="8"/>
      <c r="D18" s="9"/>
      <c r="E18" s="9"/>
      <c r="F18" s="10"/>
      <c r="G18" s="11"/>
    </row>
    <row r="19" spans="1:7" x14ac:dyDescent="0.3">
      <c r="A19" s="23" t="s">
        <v>72</v>
      </c>
      <c r="B19" s="8">
        <v>0.75</v>
      </c>
      <c r="C19" s="8"/>
      <c r="D19" s="9" t="s">
        <v>20</v>
      </c>
      <c r="E19" s="9" t="s">
        <v>20</v>
      </c>
      <c r="F19" s="10"/>
      <c r="G19" s="11"/>
    </row>
    <row r="20" spans="1:7" x14ac:dyDescent="0.3">
      <c r="A20" s="23" t="s">
        <v>73</v>
      </c>
      <c r="B20" s="8">
        <v>0.5</v>
      </c>
      <c r="C20" s="8"/>
      <c r="D20" s="9"/>
      <c r="E20" s="9"/>
      <c r="F20" s="10"/>
      <c r="G20" s="11"/>
    </row>
    <row r="21" spans="1:7" x14ac:dyDescent="0.3">
      <c r="A21" s="23" t="s">
        <v>74</v>
      </c>
      <c r="B21" s="8">
        <v>0.5</v>
      </c>
      <c r="C21" s="8"/>
      <c r="D21" s="9" t="s">
        <v>20</v>
      </c>
      <c r="E21" s="9" t="s">
        <v>20</v>
      </c>
      <c r="F21" s="10"/>
      <c r="G21" s="11"/>
    </row>
    <row r="22" spans="1:7" x14ac:dyDescent="0.3">
      <c r="A22" s="23" t="s">
        <v>75</v>
      </c>
      <c r="B22" s="8">
        <v>0.75</v>
      </c>
      <c r="C22" s="8"/>
      <c r="D22" s="9" t="s">
        <v>20</v>
      </c>
      <c r="E22" s="9" t="s">
        <v>20</v>
      </c>
      <c r="F22" s="10"/>
      <c r="G22" s="11"/>
    </row>
    <row r="23" spans="1:7" x14ac:dyDescent="0.3">
      <c r="A23" s="23" t="s">
        <v>76</v>
      </c>
      <c r="B23" s="8">
        <v>0.75</v>
      </c>
      <c r="C23" s="8"/>
      <c r="D23" s="9"/>
      <c r="E23" s="9"/>
      <c r="F23" s="10"/>
      <c r="G23" s="11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12" t="s">
        <v>0</v>
      </c>
      <c r="B25" s="10">
        <f>SUM(B7:B23)</f>
        <v>10</v>
      </c>
      <c r="C25" s="2"/>
      <c r="D25" s="2"/>
      <c r="E25" s="1" t="s">
        <v>0</v>
      </c>
      <c r="F25" s="20">
        <f>SUM(F7:F19)</f>
        <v>0</v>
      </c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  <row r="56" spans="1:7" x14ac:dyDescent="0.3">
      <c r="A56" s="2"/>
      <c r="B56" s="2"/>
      <c r="C56" s="2"/>
      <c r="D56" s="2"/>
      <c r="E56" s="2"/>
      <c r="F56" s="2"/>
      <c r="G56" s="2"/>
    </row>
    <row r="57" spans="1:7" x14ac:dyDescent="0.3">
      <c r="A57" s="2"/>
      <c r="B57" s="2"/>
      <c r="C57" s="2"/>
      <c r="D57" s="2"/>
      <c r="E57" s="2"/>
      <c r="F57" s="2"/>
      <c r="G57" s="2"/>
    </row>
    <row r="58" spans="1:7" x14ac:dyDescent="0.3">
      <c r="A58" s="2"/>
      <c r="B58" s="2"/>
      <c r="C58" s="2"/>
      <c r="D58" s="2"/>
      <c r="E58" s="2"/>
      <c r="F58" s="2"/>
      <c r="G58" s="2"/>
    </row>
    <row r="59" spans="1:7" x14ac:dyDescent="0.3">
      <c r="A59" s="2"/>
      <c r="B59" s="2"/>
      <c r="C59" s="2"/>
      <c r="D59" s="2"/>
      <c r="E59" s="2"/>
      <c r="F59" s="2"/>
      <c r="G59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87108-5667-44E7-B746-B97D20987AA1}">
  <sheetPr codeName="Sheet4"/>
  <dimension ref="A1:K59"/>
  <sheetViews>
    <sheetView zoomScale="115" zoomScaleNormal="115" workbookViewId="0">
      <selection activeCell="B24" sqref="B24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TSmidterm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21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40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TSmidterm_ACamarena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>
        <v>1</v>
      </c>
      <c r="B7" s="8">
        <v>1</v>
      </c>
      <c r="C7" s="8"/>
      <c r="D7" s="9" t="s">
        <v>20</v>
      </c>
      <c r="E7" s="9" t="s">
        <v>20</v>
      </c>
      <c r="F7" s="10"/>
      <c r="G7" s="11"/>
    </row>
    <row r="8" spans="1:7" x14ac:dyDescent="0.3">
      <c r="A8" s="23" t="s">
        <v>59</v>
      </c>
      <c r="B8" s="8">
        <v>0.5</v>
      </c>
      <c r="C8" s="8"/>
      <c r="D8" s="9" t="s">
        <v>20</v>
      </c>
      <c r="E8" s="9" t="s">
        <v>20</v>
      </c>
      <c r="F8" s="10"/>
      <c r="G8" s="11"/>
    </row>
    <row r="9" spans="1:7" x14ac:dyDescent="0.3">
      <c r="A9" s="23" t="s">
        <v>60</v>
      </c>
      <c r="B9" s="8">
        <v>0.5</v>
      </c>
      <c r="C9" s="8"/>
      <c r="D9" s="9" t="s">
        <v>20</v>
      </c>
      <c r="E9" s="9" t="s">
        <v>20</v>
      </c>
      <c r="F9" s="10"/>
      <c r="G9" s="11"/>
    </row>
    <row r="10" spans="1:7" x14ac:dyDescent="0.3">
      <c r="A10" s="23" t="s">
        <v>61</v>
      </c>
      <c r="B10" s="8">
        <v>0.5</v>
      </c>
      <c r="C10" s="8"/>
      <c r="D10" s="9" t="s">
        <v>20</v>
      </c>
      <c r="E10" s="9" t="s">
        <v>20</v>
      </c>
      <c r="F10" s="10"/>
      <c r="G10" s="11"/>
    </row>
    <row r="11" spans="1:7" x14ac:dyDescent="0.3">
      <c r="A11" s="23" t="s">
        <v>65</v>
      </c>
      <c r="B11" s="8">
        <v>0.5</v>
      </c>
      <c r="C11" s="8"/>
      <c r="D11" s="9" t="s">
        <v>20</v>
      </c>
      <c r="E11" s="9" t="s">
        <v>20</v>
      </c>
      <c r="F11" s="10"/>
      <c r="G11" s="11"/>
    </row>
    <row r="12" spans="1:7" x14ac:dyDescent="0.3">
      <c r="A12" s="23" t="s">
        <v>62</v>
      </c>
      <c r="B12" s="8">
        <v>0.66</v>
      </c>
      <c r="C12" s="8"/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0.67</v>
      </c>
      <c r="C13" s="8"/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0.67</v>
      </c>
      <c r="C14" s="8"/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0.25</v>
      </c>
      <c r="C15" s="8"/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0.25</v>
      </c>
      <c r="C16" s="8"/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/>
      <c r="D17" s="9" t="s">
        <v>20</v>
      </c>
      <c r="E17" s="9" t="s">
        <v>20</v>
      </c>
      <c r="F17" s="10"/>
      <c r="G17" s="11"/>
    </row>
    <row r="18" spans="1:7" x14ac:dyDescent="0.3">
      <c r="A18" s="23" t="s">
        <v>71</v>
      </c>
      <c r="B18" s="8">
        <v>0.75</v>
      </c>
      <c r="C18" s="8"/>
      <c r="D18" s="9"/>
      <c r="E18" s="9"/>
      <c r="F18" s="10"/>
      <c r="G18" s="11"/>
    </row>
    <row r="19" spans="1:7" x14ac:dyDescent="0.3">
      <c r="A19" s="23" t="s">
        <v>72</v>
      </c>
      <c r="B19" s="8">
        <v>0.75</v>
      </c>
      <c r="C19" s="8"/>
      <c r="D19" s="9" t="s">
        <v>20</v>
      </c>
      <c r="E19" s="9" t="s">
        <v>20</v>
      </c>
      <c r="F19" s="10"/>
      <c r="G19" s="11"/>
    </row>
    <row r="20" spans="1:7" x14ac:dyDescent="0.3">
      <c r="A20" s="23" t="s">
        <v>73</v>
      </c>
      <c r="B20" s="8">
        <v>0.5</v>
      </c>
      <c r="C20" s="8"/>
      <c r="D20" s="9"/>
      <c r="E20" s="9"/>
      <c r="F20" s="10"/>
      <c r="G20" s="11"/>
    </row>
    <row r="21" spans="1:7" x14ac:dyDescent="0.3">
      <c r="A21" s="23" t="s">
        <v>74</v>
      </c>
      <c r="B21" s="8">
        <v>0.5</v>
      </c>
      <c r="C21" s="8"/>
      <c r="D21" s="9" t="s">
        <v>20</v>
      </c>
      <c r="E21" s="9" t="s">
        <v>20</v>
      </c>
      <c r="F21" s="10"/>
      <c r="G21" s="11"/>
    </row>
    <row r="22" spans="1:7" x14ac:dyDescent="0.3">
      <c r="A22" s="23" t="s">
        <v>75</v>
      </c>
      <c r="B22" s="8">
        <v>0.75</v>
      </c>
      <c r="C22" s="8"/>
      <c r="D22" s="9" t="s">
        <v>20</v>
      </c>
      <c r="E22" s="9" t="s">
        <v>20</v>
      </c>
      <c r="F22" s="10"/>
      <c r="G22" s="11"/>
    </row>
    <row r="23" spans="1:7" x14ac:dyDescent="0.3">
      <c r="A23" s="23" t="s">
        <v>76</v>
      </c>
      <c r="B23" s="8">
        <v>0.75</v>
      </c>
      <c r="C23" s="8"/>
      <c r="D23" s="9"/>
      <c r="E23" s="9"/>
      <c r="F23" s="10"/>
      <c r="G23" s="11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12" t="s">
        <v>0</v>
      </c>
      <c r="B25" s="10">
        <f>SUM(B7:B23)</f>
        <v>10</v>
      </c>
      <c r="C25" s="2"/>
      <c r="D25" s="2"/>
      <c r="E25" s="1" t="s">
        <v>0</v>
      </c>
      <c r="F25" s="20">
        <f>SUM(F7:F19)</f>
        <v>0</v>
      </c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  <row r="56" spans="1:7" x14ac:dyDescent="0.3">
      <c r="A56" s="2"/>
      <c r="B56" s="2"/>
      <c r="C56" s="2"/>
      <c r="D56" s="2"/>
      <c r="E56" s="2"/>
      <c r="F56" s="2"/>
      <c r="G56" s="2"/>
    </row>
    <row r="57" spans="1:7" x14ac:dyDescent="0.3">
      <c r="A57" s="2"/>
      <c r="B57" s="2"/>
      <c r="C57" s="2"/>
      <c r="D57" s="2"/>
      <c r="E57" s="2"/>
      <c r="F57" s="2"/>
      <c r="G57" s="2"/>
    </row>
    <row r="58" spans="1:7" x14ac:dyDescent="0.3">
      <c r="A58" s="2"/>
      <c r="B58" s="2"/>
      <c r="C58" s="2"/>
      <c r="D58" s="2"/>
      <c r="E58" s="2"/>
      <c r="F58" s="2"/>
      <c r="G58" s="2"/>
    </row>
    <row r="59" spans="1:7" x14ac:dyDescent="0.3">
      <c r="A59" s="2"/>
      <c r="B59" s="2"/>
      <c r="C59" s="2"/>
      <c r="D59" s="2"/>
      <c r="E59" s="2"/>
      <c r="F59" s="2"/>
      <c r="G59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4D578-DDC2-44AC-8A63-FE1276227EDD}">
  <sheetPr codeName="Sheet5"/>
  <dimension ref="A1:K59"/>
  <sheetViews>
    <sheetView zoomScale="115" zoomScaleNormal="115" workbookViewId="0">
      <selection activeCell="B24" sqref="B24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TSmidterm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38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41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TSmidterm_JCastelo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>
        <v>1</v>
      </c>
      <c r="B7" s="8">
        <v>1</v>
      </c>
      <c r="C7" s="8"/>
      <c r="D7" s="9" t="s">
        <v>20</v>
      </c>
      <c r="E7" s="9" t="s">
        <v>20</v>
      </c>
      <c r="F7" s="10"/>
      <c r="G7" s="11"/>
    </row>
    <row r="8" spans="1:7" x14ac:dyDescent="0.3">
      <c r="A8" s="23" t="s">
        <v>59</v>
      </c>
      <c r="B8" s="8">
        <v>0.5</v>
      </c>
      <c r="C8" s="8"/>
      <c r="D8" s="9" t="s">
        <v>20</v>
      </c>
      <c r="E8" s="9" t="s">
        <v>20</v>
      </c>
      <c r="F8" s="10"/>
      <c r="G8" s="11"/>
    </row>
    <row r="9" spans="1:7" x14ac:dyDescent="0.3">
      <c r="A9" s="23" t="s">
        <v>60</v>
      </c>
      <c r="B9" s="8">
        <v>0.5</v>
      </c>
      <c r="C9" s="8"/>
      <c r="D9" s="9" t="s">
        <v>20</v>
      </c>
      <c r="E9" s="9" t="s">
        <v>20</v>
      </c>
      <c r="F9" s="10"/>
      <c r="G9" s="11"/>
    </row>
    <row r="10" spans="1:7" x14ac:dyDescent="0.3">
      <c r="A10" s="23" t="s">
        <v>61</v>
      </c>
      <c r="B10" s="8">
        <v>0.5</v>
      </c>
      <c r="C10" s="8"/>
      <c r="D10" s="9" t="s">
        <v>20</v>
      </c>
      <c r="E10" s="9" t="s">
        <v>20</v>
      </c>
      <c r="F10" s="10"/>
      <c r="G10" s="11"/>
    </row>
    <row r="11" spans="1:7" x14ac:dyDescent="0.3">
      <c r="A11" s="23" t="s">
        <v>65</v>
      </c>
      <c r="B11" s="8">
        <v>0.5</v>
      </c>
      <c r="C11" s="8"/>
      <c r="D11" s="9" t="s">
        <v>20</v>
      </c>
      <c r="E11" s="9" t="s">
        <v>20</v>
      </c>
      <c r="F11" s="10"/>
      <c r="G11" s="11"/>
    </row>
    <row r="12" spans="1:7" x14ac:dyDescent="0.3">
      <c r="A12" s="23" t="s">
        <v>62</v>
      </c>
      <c r="B12" s="8">
        <v>0.66</v>
      </c>
      <c r="C12" s="8"/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0.67</v>
      </c>
      <c r="C13" s="8"/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0.67</v>
      </c>
      <c r="C14" s="8"/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0.25</v>
      </c>
      <c r="C15" s="8"/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0.25</v>
      </c>
      <c r="C16" s="8"/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/>
      <c r="D17" s="9" t="s">
        <v>20</v>
      </c>
      <c r="E17" s="9" t="s">
        <v>20</v>
      </c>
      <c r="F17" s="10"/>
      <c r="G17" s="11"/>
    </row>
    <row r="18" spans="1:7" x14ac:dyDescent="0.3">
      <c r="A18" s="23" t="s">
        <v>71</v>
      </c>
      <c r="B18" s="8">
        <v>0.75</v>
      </c>
      <c r="C18" s="8"/>
      <c r="D18" s="9"/>
      <c r="E18" s="9"/>
      <c r="F18" s="10"/>
      <c r="G18" s="11"/>
    </row>
    <row r="19" spans="1:7" x14ac:dyDescent="0.3">
      <c r="A19" s="23" t="s">
        <v>72</v>
      </c>
      <c r="B19" s="8">
        <v>0.75</v>
      </c>
      <c r="C19" s="8"/>
      <c r="D19" s="9" t="s">
        <v>20</v>
      </c>
      <c r="E19" s="9" t="s">
        <v>20</v>
      </c>
      <c r="F19" s="10"/>
      <c r="G19" s="11"/>
    </row>
    <row r="20" spans="1:7" x14ac:dyDescent="0.3">
      <c r="A20" s="23" t="s">
        <v>73</v>
      </c>
      <c r="B20" s="8">
        <v>0.5</v>
      </c>
      <c r="C20" s="8"/>
      <c r="D20" s="9"/>
      <c r="E20" s="9"/>
      <c r="F20" s="10"/>
      <c r="G20" s="11"/>
    </row>
    <row r="21" spans="1:7" x14ac:dyDescent="0.3">
      <c r="A21" s="23" t="s">
        <v>74</v>
      </c>
      <c r="B21" s="8">
        <v>0.5</v>
      </c>
      <c r="C21" s="8"/>
      <c r="D21" s="9" t="s">
        <v>20</v>
      </c>
      <c r="E21" s="9" t="s">
        <v>20</v>
      </c>
      <c r="F21" s="10"/>
      <c r="G21" s="11"/>
    </row>
    <row r="22" spans="1:7" x14ac:dyDescent="0.3">
      <c r="A22" s="23" t="s">
        <v>75</v>
      </c>
      <c r="B22" s="8">
        <v>0.75</v>
      </c>
      <c r="C22" s="8"/>
      <c r="D22" s="9" t="s">
        <v>20</v>
      </c>
      <c r="E22" s="9" t="s">
        <v>20</v>
      </c>
      <c r="F22" s="10"/>
      <c r="G22" s="11"/>
    </row>
    <row r="23" spans="1:7" x14ac:dyDescent="0.3">
      <c r="A23" s="23" t="s">
        <v>76</v>
      </c>
      <c r="B23" s="8">
        <v>0.75</v>
      </c>
      <c r="C23" s="8"/>
      <c r="D23" s="9"/>
      <c r="E23" s="9"/>
      <c r="F23" s="10"/>
      <c r="G23" s="11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12" t="s">
        <v>0</v>
      </c>
      <c r="B25" s="10">
        <f>SUM(B7:B23)</f>
        <v>10</v>
      </c>
      <c r="C25" s="2"/>
      <c r="D25" s="2"/>
      <c r="E25" s="1" t="s">
        <v>0</v>
      </c>
      <c r="F25" s="20">
        <f>SUM(F7:F19)</f>
        <v>0</v>
      </c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  <row r="56" spans="1:7" x14ac:dyDescent="0.3">
      <c r="A56" s="2"/>
      <c r="B56" s="2"/>
      <c r="C56" s="2"/>
      <c r="D56" s="2"/>
      <c r="E56" s="2"/>
      <c r="F56" s="2"/>
      <c r="G56" s="2"/>
    </row>
    <row r="57" spans="1:7" x14ac:dyDescent="0.3">
      <c r="A57" s="2"/>
      <c r="B57" s="2"/>
      <c r="C57" s="2"/>
      <c r="D57" s="2"/>
      <c r="E57" s="2"/>
      <c r="F57" s="2"/>
      <c r="G57" s="2"/>
    </row>
    <row r="58" spans="1:7" x14ac:dyDescent="0.3">
      <c r="A58" s="2"/>
      <c r="B58" s="2"/>
      <c r="C58" s="2"/>
      <c r="D58" s="2"/>
      <c r="E58" s="2"/>
      <c r="F58" s="2"/>
      <c r="G58" s="2"/>
    </row>
    <row r="59" spans="1:7" x14ac:dyDescent="0.3">
      <c r="A59" s="2"/>
      <c r="B59" s="2"/>
      <c r="C59" s="2"/>
      <c r="D59" s="2"/>
      <c r="E59" s="2"/>
      <c r="F59" s="2"/>
      <c r="G59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BCB2D-F1BA-4415-993C-DC53D37CB8F6}">
  <sheetPr codeName="Sheet6"/>
  <dimension ref="A1:K59"/>
  <sheetViews>
    <sheetView zoomScale="115" zoomScaleNormal="115" workbookViewId="0">
      <selection activeCell="B24" sqref="B24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TSmidterm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22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42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TSmidterm_DLarrañaga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>
        <v>1</v>
      </c>
      <c r="B7" s="8">
        <v>1</v>
      </c>
      <c r="C7" s="8"/>
      <c r="D7" s="9" t="s">
        <v>20</v>
      </c>
      <c r="E7" s="9" t="s">
        <v>20</v>
      </c>
      <c r="F7" s="10"/>
      <c r="G7" s="11"/>
    </row>
    <row r="8" spans="1:7" x14ac:dyDescent="0.3">
      <c r="A8" s="23" t="s">
        <v>59</v>
      </c>
      <c r="B8" s="8">
        <v>0.5</v>
      </c>
      <c r="C8" s="8"/>
      <c r="D8" s="9" t="s">
        <v>20</v>
      </c>
      <c r="E8" s="9" t="s">
        <v>20</v>
      </c>
      <c r="F8" s="10"/>
      <c r="G8" s="11"/>
    </row>
    <row r="9" spans="1:7" x14ac:dyDescent="0.3">
      <c r="A9" s="23" t="s">
        <v>60</v>
      </c>
      <c r="B9" s="8">
        <v>0.5</v>
      </c>
      <c r="C9" s="8"/>
      <c r="D9" s="9" t="s">
        <v>20</v>
      </c>
      <c r="E9" s="9" t="s">
        <v>20</v>
      </c>
      <c r="F9" s="10"/>
      <c r="G9" s="11"/>
    </row>
    <row r="10" spans="1:7" x14ac:dyDescent="0.3">
      <c r="A10" s="23" t="s">
        <v>61</v>
      </c>
      <c r="B10" s="8">
        <v>0.5</v>
      </c>
      <c r="C10" s="8"/>
      <c r="D10" s="9" t="s">
        <v>20</v>
      </c>
      <c r="E10" s="9" t="s">
        <v>20</v>
      </c>
      <c r="F10" s="10"/>
      <c r="G10" s="11"/>
    </row>
    <row r="11" spans="1:7" x14ac:dyDescent="0.3">
      <c r="A11" s="23" t="s">
        <v>65</v>
      </c>
      <c r="B11" s="8">
        <v>0.5</v>
      </c>
      <c r="C11" s="8"/>
      <c r="D11" s="9" t="s">
        <v>20</v>
      </c>
      <c r="E11" s="9" t="s">
        <v>20</v>
      </c>
      <c r="F11" s="10"/>
      <c r="G11" s="11"/>
    </row>
    <row r="12" spans="1:7" x14ac:dyDescent="0.3">
      <c r="A12" s="23" t="s">
        <v>62</v>
      </c>
      <c r="B12" s="8">
        <v>0.66</v>
      </c>
      <c r="C12" s="8"/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0.67</v>
      </c>
      <c r="C13" s="8"/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0.67</v>
      </c>
      <c r="C14" s="8"/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0.25</v>
      </c>
      <c r="C15" s="8"/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0.25</v>
      </c>
      <c r="C16" s="8"/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/>
      <c r="D17" s="9" t="s">
        <v>20</v>
      </c>
      <c r="E17" s="9" t="s">
        <v>20</v>
      </c>
      <c r="F17" s="10"/>
      <c r="G17" s="11"/>
    </row>
    <row r="18" spans="1:7" x14ac:dyDescent="0.3">
      <c r="A18" s="23" t="s">
        <v>71</v>
      </c>
      <c r="B18" s="8">
        <v>0.75</v>
      </c>
      <c r="C18" s="8"/>
      <c r="D18" s="9"/>
      <c r="E18" s="9"/>
      <c r="F18" s="10"/>
      <c r="G18" s="11"/>
    </row>
    <row r="19" spans="1:7" x14ac:dyDescent="0.3">
      <c r="A19" s="23" t="s">
        <v>72</v>
      </c>
      <c r="B19" s="8">
        <v>0.75</v>
      </c>
      <c r="C19" s="8"/>
      <c r="D19" s="9" t="s">
        <v>20</v>
      </c>
      <c r="E19" s="9" t="s">
        <v>20</v>
      </c>
      <c r="F19" s="10"/>
      <c r="G19" s="11"/>
    </row>
    <row r="20" spans="1:7" x14ac:dyDescent="0.3">
      <c r="A20" s="23" t="s">
        <v>73</v>
      </c>
      <c r="B20" s="8">
        <v>0.5</v>
      </c>
      <c r="C20" s="8"/>
      <c r="D20" s="9"/>
      <c r="E20" s="9"/>
      <c r="F20" s="10"/>
      <c r="G20" s="11"/>
    </row>
    <row r="21" spans="1:7" x14ac:dyDescent="0.3">
      <c r="A21" s="23" t="s">
        <v>74</v>
      </c>
      <c r="B21" s="8">
        <v>0.5</v>
      </c>
      <c r="C21" s="8"/>
      <c r="D21" s="9" t="s">
        <v>20</v>
      </c>
      <c r="E21" s="9" t="s">
        <v>20</v>
      </c>
      <c r="F21" s="10"/>
      <c r="G21" s="11"/>
    </row>
    <row r="22" spans="1:7" x14ac:dyDescent="0.3">
      <c r="A22" s="23" t="s">
        <v>75</v>
      </c>
      <c r="B22" s="8">
        <v>0.75</v>
      </c>
      <c r="C22" s="8"/>
      <c r="D22" s="9" t="s">
        <v>20</v>
      </c>
      <c r="E22" s="9" t="s">
        <v>20</v>
      </c>
      <c r="F22" s="10"/>
      <c r="G22" s="11"/>
    </row>
    <row r="23" spans="1:7" x14ac:dyDescent="0.3">
      <c r="A23" s="23" t="s">
        <v>76</v>
      </c>
      <c r="B23" s="8">
        <v>0.75</v>
      </c>
      <c r="C23" s="8"/>
      <c r="D23" s="9"/>
      <c r="E23" s="9"/>
      <c r="F23" s="10"/>
      <c r="G23" s="11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12" t="s">
        <v>0</v>
      </c>
      <c r="B25" s="10">
        <f>SUM(B7:B23)</f>
        <v>10</v>
      </c>
      <c r="C25" s="2"/>
      <c r="D25" s="2"/>
      <c r="E25" s="1" t="s">
        <v>0</v>
      </c>
      <c r="F25" s="20">
        <f>SUM(F7:F19)</f>
        <v>0</v>
      </c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  <row r="56" spans="1:7" x14ac:dyDescent="0.3">
      <c r="A56" s="2"/>
      <c r="B56" s="2"/>
      <c r="C56" s="2"/>
      <c r="D56" s="2"/>
      <c r="E56" s="2"/>
      <c r="F56" s="2"/>
      <c r="G56" s="2"/>
    </row>
    <row r="57" spans="1:7" x14ac:dyDescent="0.3">
      <c r="A57" s="2"/>
      <c r="B57" s="2"/>
      <c r="C57" s="2"/>
      <c r="D57" s="2"/>
      <c r="E57" s="2"/>
      <c r="F57" s="2"/>
      <c r="G57" s="2"/>
    </row>
    <row r="58" spans="1:7" x14ac:dyDescent="0.3">
      <c r="A58" s="2"/>
      <c r="B58" s="2"/>
      <c r="C58" s="2"/>
      <c r="D58" s="2"/>
      <c r="E58" s="2"/>
      <c r="F58" s="2"/>
      <c r="G58" s="2"/>
    </row>
    <row r="59" spans="1:7" x14ac:dyDescent="0.3">
      <c r="A59" s="2"/>
      <c r="B59" s="2"/>
      <c r="C59" s="2"/>
      <c r="D59" s="2"/>
      <c r="E59" s="2"/>
      <c r="F59" s="2"/>
      <c r="G59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D7D2E-96BA-461F-B877-A6AFEB742CEF}">
  <sheetPr codeName="Sheet7"/>
  <dimension ref="A1:K59"/>
  <sheetViews>
    <sheetView zoomScale="115" zoomScaleNormal="115" workbookViewId="0">
      <selection activeCell="B24" sqref="B24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TSmidterm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23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43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TSmidterm_MDiarra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>
        <v>1</v>
      </c>
      <c r="B7" s="8">
        <v>1</v>
      </c>
      <c r="C7" s="8"/>
      <c r="D7" s="9" t="s">
        <v>20</v>
      </c>
      <c r="E7" s="9" t="s">
        <v>20</v>
      </c>
      <c r="F7" s="10"/>
      <c r="G7" s="11"/>
    </row>
    <row r="8" spans="1:7" x14ac:dyDescent="0.3">
      <c r="A8" s="23" t="s">
        <v>59</v>
      </c>
      <c r="B8" s="8">
        <v>0.5</v>
      </c>
      <c r="C8" s="8"/>
      <c r="D8" s="9" t="s">
        <v>20</v>
      </c>
      <c r="E8" s="9" t="s">
        <v>20</v>
      </c>
      <c r="F8" s="10"/>
      <c r="G8" s="11"/>
    </row>
    <row r="9" spans="1:7" x14ac:dyDescent="0.3">
      <c r="A9" s="23" t="s">
        <v>60</v>
      </c>
      <c r="B9" s="8">
        <v>0.5</v>
      </c>
      <c r="C9" s="8"/>
      <c r="D9" s="9" t="s">
        <v>20</v>
      </c>
      <c r="E9" s="9" t="s">
        <v>20</v>
      </c>
      <c r="F9" s="10"/>
      <c r="G9" s="11"/>
    </row>
    <row r="10" spans="1:7" x14ac:dyDescent="0.3">
      <c r="A10" s="23" t="s">
        <v>61</v>
      </c>
      <c r="B10" s="8">
        <v>0.5</v>
      </c>
      <c r="C10" s="8"/>
      <c r="D10" s="9" t="s">
        <v>20</v>
      </c>
      <c r="E10" s="9" t="s">
        <v>20</v>
      </c>
      <c r="F10" s="10"/>
      <c r="G10" s="11"/>
    </row>
    <row r="11" spans="1:7" x14ac:dyDescent="0.3">
      <c r="A11" s="23" t="s">
        <v>65</v>
      </c>
      <c r="B11" s="8">
        <v>0.5</v>
      </c>
      <c r="C11" s="8"/>
      <c r="D11" s="9" t="s">
        <v>20</v>
      </c>
      <c r="E11" s="9" t="s">
        <v>20</v>
      </c>
      <c r="F11" s="10"/>
      <c r="G11" s="11"/>
    </row>
    <row r="12" spans="1:7" x14ac:dyDescent="0.3">
      <c r="A12" s="23" t="s">
        <v>62</v>
      </c>
      <c r="B12" s="8">
        <v>0.66</v>
      </c>
      <c r="C12" s="8"/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0.67</v>
      </c>
      <c r="C13" s="8"/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0.67</v>
      </c>
      <c r="C14" s="8"/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0.25</v>
      </c>
      <c r="C15" s="8"/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0.25</v>
      </c>
      <c r="C16" s="8"/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/>
      <c r="D17" s="9" t="s">
        <v>20</v>
      </c>
      <c r="E17" s="9" t="s">
        <v>20</v>
      </c>
      <c r="F17" s="10"/>
      <c r="G17" s="11"/>
    </row>
    <row r="18" spans="1:7" x14ac:dyDescent="0.3">
      <c r="A18" s="23" t="s">
        <v>71</v>
      </c>
      <c r="B18" s="8">
        <v>0.75</v>
      </c>
      <c r="C18" s="8"/>
      <c r="D18" s="9"/>
      <c r="E18" s="9"/>
      <c r="F18" s="10"/>
      <c r="G18" s="11"/>
    </row>
    <row r="19" spans="1:7" x14ac:dyDescent="0.3">
      <c r="A19" s="23" t="s">
        <v>72</v>
      </c>
      <c r="B19" s="8">
        <v>0.75</v>
      </c>
      <c r="C19" s="8"/>
      <c r="D19" s="9" t="s">
        <v>20</v>
      </c>
      <c r="E19" s="9" t="s">
        <v>20</v>
      </c>
      <c r="F19" s="10"/>
      <c r="G19" s="11"/>
    </row>
    <row r="20" spans="1:7" x14ac:dyDescent="0.3">
      <c r="A20" s="23" t="s">
        <v>73</v>
      </c>
      <c r="B20" s="8">
        <v>0.5</v>
      </c>
      <c r="C20" s="8"/>
      <c r="D20" s="9"/>
      <c r="E20" s="9"/>
      <c r="F20" s="10"/>
      <c r="G20" s="11"/>
    </row>
    <row r="21" spans="1:7" x14ac:dyDescent="0.3">
      <c r="A21" s="23" t="s">
        <v>74</v>
      </c>
      <c r="B21" s="8">
        <v>0.5</v>
      </c>
      <c r="C21" s="8"/>
      <c r="D21" s="9" t="s">
        <v>20</v>
      </c>
      <c r="E21" s="9" t="s">
        <v>20</v>
      </c>
      <c r="F21" s="10"/>
      <c r="G21" s="11"/>
    </row>
    <row r="22" spans="1:7" x14ac:dyDescent="0.3">
      <c r="A22" s="23" t="s">
        <v>75</v>
      </c>
      <c r="B22" s="8">
        <v>0.75</v>
      </c>
      <c r="C22" s="8"/>
      <c r="D22" s="9" t="s">
        <v>20</v>
      </c>
      <c r="E22" s="9" t="s">
        <v>20</v>
      </c>
      <c r="F22" s="10"/>
      <c r="G22" s="11"/>
    </row>
    <row r="23" spans="1:7" x14ac:dyDescent="0.3">
      <c r="A23" s="23" t="s">
        <v>76</v>
      </c>
      <c r="B23" s="8">
        <v>0.75</v>
      </c>
      <c r="C23" s="8"/>
      <c r="D23" s="9"/>
      <c r="E23" s="9"/>
      <c r="F23" s="10"/>
      <c r="G23" s="11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12" t="s">
        <v>0</v>
      </c>
      <c r="B25" s="10">
        <f>SUM(B7:B23)</f>
        <v>10</v>
      </c>
      <c r="C25" s="2"/>
      <c r="D25" s="2"/>
      <c r="E25" s="1" t="s">
        <v>0</v>
      </c>
      <c r="F25" s="20">
        <f>SUM(F7:F19)</f>
        <v>0</v>
      </c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  <row r="56" spans="1:7" x14ac:dyDescent="0.3">
      <c r="A56" s="2"/>
      <c r="B56" s="2"/>
      <c r="C56" s="2"/>
      <c r="D56" s="2"/>
      <c r="E56" s="2"/>
      <c r="F56" s="2"/>
      <c r="G56" s="2"/>
    </row>
    <row r="57" spans="1:7" x14ac:dyDescent="0.3">
      <c r="A57" s="2"/>
      <c r="B57" s="2"/>
      <c r="C57" s="2"/>
      <c r="D57" s="2"/>
      <c r="E57" s="2"/>
      <c r="F57" s="2"/>
      <c r="G57" s="2"/>
    </row>
    <row r="58" spans="1:7" x14ac:dyDescent="0.3">
      <c r="A58" s="2"/>
      <c r="B58" s="2"/>
      <c r="C58" s="2"/>
      <c r="D58" s="2"/>
      <c r="E58" s="2"/>
      <c r="F58" s="2"/>
      <c r="G58" s="2"/>
    </row>
    <row r="59" spans="1:7" x14ac:dyDescent="0.3">
      <c r="A59" s="2"/>
      <c r="B59" s="2"/>
      <c r="C59" s="2"/>
      <c r="D59" s="2"/>
      <c r="E59" s="2"/>
      <c r="F59" s="2"/>
      <c r="G59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5EA49-C848-49C0-8030-50ED910702C7}">
  <sheetPr codeName="Sheet8"/>
  <dimension ref="A1:K59"/>
  <sheetViews>
    <sheetView zoomScale="115" zoomScaleNormal="115" workbookViewId="0">
      <selection activeCell="B24" sqref="B24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TSmidterm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24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44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TSmidterm_FMartin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>
        <v>1</v>
      </c>
      <c r="B7" s="8">
        <v>1</v>
      </c>
      <c r="C7" s="8"/>
      <c r="D7" s="9" t="s">
        <v>20</v>
      </c>
      <c r="E7" s="9" t="s">
        <v>20</v>
      </c>
      <c r="F7" s="10"/>
      <c r="G7" s="11"/>
    </row>
    <row r="8" spans="1:7" x14ac:dyDescent="0.3">
      <c r="A8" s="23" t="s">
        <v>59</v>
      </c>
      <c r="B8" s="8">
        <v>0.5</v>
      </c>
      <c r="C8" s="8"/>
      <c r="D8" s="9" t="s">
        <v>20</v>
      </c>
      <c r="E8" s="9" t="s">
        <v>20</v>
      </c>
      <c r="F8" s="10"/>
      <c r="G8" s="11"/>
    </row>
    <row r="9" spans="1:7" x14ac:dyDescent="0.3">
      <c r="A9" s="23" t="s">
        <v>60</v>
      </c>
      <c r="B9" s="8">
        <v>0.5</v>
      </c>
      <c r="C9" s="8"/>
      <c r="D9" s="9" t="s">
        <v>20</v>
      </c>
      <c r="E9" s="9" t="s">
        <v>20</v>
      </c>
      <c r="F9" s="10"/>
      <c r="G9" s="11"/>
    </row>
    <row r="10" spans="1:7" x14ac:dyDescent="0.3">
      <c r="A10" s="23" t="s">
        <v>61</v>
      </c>
      <c r="B10" s="8">
        <v>0.5</v>
      </c>
      <c r="C10" s="8"/>
      <c r="D10" s="9" t="s">
        <v>20</v>
      </c>
      <c r="E10" s="9" t="s">
        <v>20</v>
      </c>
      <c r="F10" s="10"/>
      <c r="G10" s="11"/>
    </row>
    <row r="11" spans="1:7" x14ac:dyDescent="0.3">
      <c r="A11" s="23" t="s">
        <v>65</v>
      </c>
      <c r="B11" s="8">
        <v>0.5</v>
      </c>
      <c r="C11" s="8"/>
      <c r="D11" s="9" t="s">
        <v>20</v>
      </c>
      <c r="E11" s="9" t="s">
        <v>20</v>
      </c>
      <c r="F11" s="10"/>
      <c r="G11" s="11"/>
    </row>
    <row r="12" spans="1:7" x14ac:dyDescent="0.3">
      <c r="A12" s="23" t="s">
        <v>62</v>
      </c>
      <c r="B12" s="8">
        <v>0.66</v>
      </c>
      <c r="C12" s="8"/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0.67</v>
      </c>
      <c r="C13" s="8"/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0.67</v>
      </c>
      <c r="C14" s="8"/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0.25</v>
      </c>
      <c r="C15" s="8"/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0.25</v>
      </c>
      <c r="C16" s="8"/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/>
      <c r="D17" s="9" t="s">
        <v>20</v>
      </c>
      <c r="E17" s="9" t="s">
        <v>20</v>
      </c>
      <c r="F17" s="10"/>
      <c r="G17" s="11"/>
    </row>
    <row r="18" spans="1:7" x14ac:dyDescent="0.3">
      <c r="A18" s="23" t="s">
        <v>71</v>
      </c>
      <c r="B18" s="8">
        <v>0.75</v>
      </c>
      <c r="C18" s="8"/>
      <c r="D18" s="9"/>
      <c r="E18" s="9"/>
      <c r="F18" s="10"/>
      <c r="G18" s="11"/>
    </row>
    <row r="19" spans="1:7" x14ac:dyDescent="0.3">
      <c r="A19" s="23" t="s">
        <v>72</v>
      </c>
      <c r="B19" s="8">
        <v>0.75</v>
      </c>
      <c r="C19" s="8"/>
      <c r="D19" s="9" t="s">
        <v>20</v>
      </c>
      <c r="E19" s="9" t="s">
        <v>20</v>
      </c>
      <c r="F19" s="10"/>
      <c r="G19" s="11"/>
    </row>
    <row r="20" spans="1:7" x14ac:dyDescent="0.3">
      <c r="A20" s="23" t="s">
        <v>73</v>
      </c>
      <c r="B20" s="8">
        <v>0.5</v>
      </c>
      <c r="C20" s="8"/>
      <c r="D20" s="9"/>
      <c r="E20" s="9"/>
      <c r="F20" s="10"/>
      <c r="G20" s="11"/>
    </row>
    <row r="21" spans="1:7" x14ac:dyDescent="0.3">
      <c r="A21" s="23" t="s">
        <v>74</v>
      </c>
      <c r="B21" s="8">
        <v>0.5</v>
      </c>
      <c r="C21" s="8"/>
      <c r="D21" s="9" t="s">
        <v>20</v>
      </c>
      <c r="E21" s="9" t="s">
        <v>20</v>
      </c>
      <c r="F21" s="10"/>
      <c r="G21" s="11"/>
    </row>
    <row r="22" spans="1:7" x14ac:dyDescent="0.3">
      <c r="A22" s="23" t="s">
        <v>75</v>
      </c>
      <c r="B22" s="8">
        <v>0.75</v>
      </c>
      <c r="C22" s="8"/>
      <c r="D22" s="9" t="s">
        <v>20</v>
      </c>
      <c r="E22" s="9" t="s">
        <v>20</v>
      </c>
      <c r="F22" s="10"/>
      <c r="G22" s="11"/>
    </row>
    <row r="23" spans="1:7" x14ac:dyDescent="0.3">
      <c r="A23" s="23" t="s">
        <v>76</v>
      </c>
      <c r="B23" s="8">
        <v>0.75</v>
      </c>
      <c r="C23" s="8"/>
      <c r="D23" s="9"/>
      <c r="E23" s="9"/>
      <c r="F23" s="10"/>
      <c r="G23" s="11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12" t="s">
        <v>0</v>
      </c>
      <c r="B25" s="10">
        <f>SUM(B7:B23)</f>
        <v>10</v>
      </c>
      <c r="C25" s="2"/>
      <c r="D25" s="2"/>
      <c r="E25" s="1" t="s">
        <v>0</v>
      </c>
      <c r="F25" s="20">
        <f>SUM(F7:F19)</f>
        <v>0</v>
      </c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  <row r="56" spans="1:7" x14ac:dyDescent="0.3">
      <c r="A56" s="2"/>
      <c r="B56" s="2"/>
      <c r="C56" s="2"/>
      <c r="D56" s="2"/>
      <c r="E56" s="2"/>
      <c r="F56" s="2"/>
      <c r="G56" s="2"/>
    </row>
    <row r="57" spans="1:7" x14ac:dyDescent="0.3">
      <c r="A57" s="2"/>
      <c r="B57" s="2"/>
      <c r="C57" s="2"/>
      <c r="D57" s="2"/>
      <c r="E57" s="2"/>
      <c r="F57" s="2"/>
      <c r="G57" s="2"/>
    </row>
    <row r="58" spans="1:7" x14ac:dyDescent="0.3">
      <c r="A58" s="2"/>
      <c r="B58" s="2"/>
      <c r="C58" s="2"/>
      <c r="D58" s="2"/>
      <c r="E58" s="2"/>
      <c r="F58" s="2"/>
      <c r="G58" s="2"/>
    </row>
    <row r="59" spans="1:7" x14ac:dyDescent="0.3">
      <c r="A59" s="2"/>
      <c r="B59" s="2"/>
      <c r="C59" s="2"/>
      <c r="D59" s="2"/>
      <c r="E59" s="2"/>
      <c r="F59" s="2"/>
      <c r="G59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974D1-31DA-4A5F-B01F-E4A6217A3029}">
  <sheetPr codeName="Sheet9"/>
  <dimension ref="A1:K59"/>
  <sheetViews>
    <sheetView zoomScale="115" zoomScaleNormal="115" workbookViewId="0">
      <selection activeCell="B24" sqref="B24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TSmidterm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25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45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TSmidterm_NFeiger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>
        <v>1</v>
      </c>
      <c r="B7" s="8">
        <v>1</v>
      </c>
      <c r="C7" s="8"/>
      <c r="D7" s="9" t="s">
        <v>20</v>
      </c>
      <c r="E7" s="9" t="s">
        <v>20</v>
      </c>
      <c r="F7" s="10"/>
      <c r="G7" s="11"/>
    </row>
    <row r="8" spans="1:7" x14ac:dyDescent="0.3">
      <c r="A8" s="23" t="s">
        <v>59</v>
      </c>
      <c r="B8" s="8">
        <v>0.5</v>
      </c>
      <c r="C8" s="8"/>
      <c r="D8" s="9" t="s">
        <v>20</v>
      </c>
      <c r="E8" s="9" t="s">
        <v>20</v>
      </c>
      <c r="F8" s="10"/>
      <c r="G8" s="11"/>
    </row>
    <row r="9" spans="1:7" x14ac:dyDescent="0.3">
      <c r="A9" s="23" t="s">
        <v>60</v>
      </c>
      <c r="B9" s="8">
        <v>0.5</v>
      </c>
      <c r="C9" s="8"/>
      <c r="D9" s="9" t="s">
        <v>20</v>
      </c>
      <c r="E9" s="9" t="s">
        <v>20</v>
      </c>
      <c r="F9" s="10"/>
      <c r="G9" s="11"/>
    </row>
    <row r="10" spans="1:7" x14ac:dyDescent="0.3">
      <c r="A10" s="23" t="s">
        <v>61</v>
      </c>
      <c r="B10" s="8">
        <v>0.5</v>
      </c>
      <c r="C10" s="8"/>
      <c r="D10" s="9" t="s">
        <v>20</v>
      </c>
      <c r="E10" s="9" t="s">
        <v>20</v>
      </c>
      <c r="F10" s="10"/>
      <c r="G10" s="11"/>
    </row>
    <row r="11" spans="1:7" x14ac:dyDescent="0.3">
      <c r="A11" s="23" t="s">
        <v>65</v>
      </c>
      <c r="B11" s="8">
        <v>0.5</v>
      </c>
      <c r="C11" s="8"/>
      <c r="D11" s="9" t="s">
        <v>20</v>
      </c>
      <c r="E11" s="9" t="s">
        <v>20</v>
      </c>
      <c r="F11" s="10"/>
      <c r="G11" s="11"/>
    </row>
    <row r="12" spans="1:7" x14ac:dyDescent="0.3">
      <c r="A12" s="23" t="s">
        <v>62</v>
      </c>
      <c r="B12" s="8">
        <v>0.66</v>
      </c>
      <c r="C12" s="8"/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0.67</v>
      </c>
      <c r="C13" s="8"/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0.67</v>
      </c>
      <c r="C14" s="8"/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0.25</v>
      </c>
      <c r="C15" s="8"/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0.25</v>
      </c>
      <c r="C16" s="8"/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/>
      <c r="D17" s="9" t="s">
        <v>20</v>
      </c>
      <c r="E17" s="9" t="s">
        <v>20</v>
      </c>
      <c r="F17" s="10"/>
      <c r="G17" s="11"/>
    </row>
    <row r="18" spans="1:7" x14ac:dyDescent="0.3">
      <c r="A18" s="23" t="s">
        <v>71</v>
      </c>
      <c r="B18" s="8">
        <v>0.75</v>
      </c>
      <c r="C18" s="8"/>
      <c r="D18" s="9"/>
      <c r="E18" s="9"/>
      <c r="F18" s="10"/>
      <c r="G18" s="11"/>
    </row>
    <row r="19" spans="1:7" x14ac:dyDescent="0.3">
      <c r="A19" s="23" t="s">
        <v>72</v>
      </c>
      <c r="B19" s="8">
        <v>0.75</v>
      </c>
      <c r="C19" s="8"/>
      <c r="D19" s="9" t="s">
        <v>20</v>
      </c>
      <c r="E19" s="9" t="s">
        <v>20</v>
      </c>
      <c r="F19" s="10"/>
      <c r="G19" s="11"/>
    </row>
    <row r="20" spans="1:7" x14ac:dyDescent="0.3">
      <c r="A20" s="23" t="s">
        <v>73</v>
      </c>
      <c r="B20" s="8">
        <v>0.5</v>
      </c>
      <c r="C20" s="8"/>
      <c r="D20" s="9"/>
      <c r="E20" s="9"/>
      <c r="F20" s="10"/>
      <c r="G20" s="11"/>
    </row>
    <row r="21" spans="1:7" x14ac:dyDescent="0.3">
      <c r="A21" s="23" t="s">
        <v>74</v>
      </c>
      <c r="B21" s="8">
        <v>0.5</v>
      </c>
      <c r="C21" s="8"/>
      <c r="D21" s="9" t="s">
        <v>20</v>
      </c>
      <c r="E21" s="9" t="s">
        <v>20</v>
      </c>
      <c r="F21" s="10"/>
      <c r="G21" s="11"/>
    </row>
    <row r="22" spans="1:7" x14ac:dyDescent="0.3">
      <c r="A22" s="23" t="s">
        <v>75</v>
      </c>
      <c r="B22" s="8">
        <v>0.75</v>
      </c>
      <c r="C22" s="8"/>
      <c r="D22" s="9" t="s">
        <v>20</v>
      </c>
      <c r="E22" s="9" t="s">
        <v>20</v>
      </c>
      <c r="F22" s="10"/>
      <c r="G22" s="11"/>
    </row>
    <row r="23" spans="1:7" x14ac:dyDescent="0.3">
      <c r="A23" s="23" t="s">
        <v>76</v>
      </c>
      <c r="B23" s="8">
        <v>0.75</v>
      </c>
      <c r="C23" s="8"/>
      <c r="D23" s="9"/>
      <c r="E23" s="9"/>
      <c r="F23" s="10"/>
      <c r="G23" s="11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12" t="s">
        <v>0</v>
      </c>
      <c r="B25" s="10">
        <f>SUM(B7:B23)</f>
        <v>10</v>
      </c>
      <c r="C25" s="2"/>
      <c r="D25" s="2"/>
      <c r="E25" s="1" t="s">
        <v>0</v>
      </c>
      <c r="F25" s="20">
        <f>SUM(F7:F19)</f>
        <v>0</v>
      </c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  <row r="56" spans="1:7" x14ac:dyDescent="0.3">
      <c r="A56" s="2"/>
      <c r="B56" s="2"/>
      <c r="C56" s="2"/>
      <c r="D56" s="2"/>
      <c r="E56" s="2"/>
      <c r="F56" s="2"/>
      <c r="G56" s="2"/>
    </row>
    <row r="57" spans="1:7" x14ac:dyDescent="0.3">
      <c r="A57" s="2"/>
      <c r="B57" s="2"/>
      <c r="C57" s="2"/>
      <c r="D57" s="2"/>
      <c r="E57" s="2"/>
      <c r="F57" s="2"/>
      <c r="G57" s="2"/>
    </row>
    <row r="58" spans="1:7" x14ac:dyDescent="0.3">
      <c r="A58" s="2"/>
      <c r="B58" s="2"/>
      <c r="C58" s="2"/>
      <c r="D58" s="2"/>
      <c r="E58" s="2"/>
      <c r="F58" s="2"/>
      <c r="G58" s="2"/>
    </row>
    <row r="59" spans="1:7" x14ac:dyDescent="0.3">
      <c r="A59" s="2"/>
      <c r="B59" s="2"/>
      <c r="C59" s="2"/>
      <c r="D59" s="2"/>
      <c r="E59" s="2"/>
      <c r="F59" s="2"/>
      <c r="G59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32276-3083-4466-912E-55C451A9039F}">
  <sheetPr codeName="Sheet10"/>
  <dimension ref="A1:K59"/>
  <sheetViews>
    <sheetView zoomScale="115" zoomScaleNormal="115" workbookViewId="0">
      <selection activeCell="B24" sqref="B24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TSmidterm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26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46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TSmidterm_SGonzalez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>
        <v>1</v>
      </c>
      <c r="B7" s="8">
        <v>1</v>
      </c>
      <c r="C7" s="8"/>
      <c r="D7" s="9" t="s">
        <v>20</v>
      </c>
      <c r="E7" s="9" t="s">
        <v>20</v>
      </c>
      <c r="F7" s="10"/>
      <c r="G7" s="11"/>
    </row>
    <row r="8" spans="1:7" x14ac:dyDescent="0.3">
      <c r="A8" s="23" t="s">
        <v>59</v>
      </c>
      <c r="B8" s="8">
        <v>0.5</v>
      </c>
      <c r="C8" s="8"/>
      <c r="D8" s="9" t="s">
        <v>20</v>
      </c>
      <c r="E8" s="9" t="s">
        <v>20</v>
      </c>
      <c r="F8" s="10"/>
      <c r="G8" s="11"/>
    </row>
    <row r="9" spans="1:7" x14ac:dyDescent="0.3">
      <c r="A9" s="23" t="s">
        <v>60</v>
      </c>
      <c r="B9" s="8">
        <v>0.5</v>
      </c>
      <c r="C9" s="8"/>
      <c r="D9" s="9" t="s">
        <v>20</v>
      </c>
      <c r="E9" s="9" t="s">
        <v>20</v>
      </c>
      <c r="F9" s="10"/>
      <c r="G9" s="11"/>
    </row>
    <row r="10" spans="1:7" x14ac:dyDescent="0.3">
      <c r="A10" s="23" t="s">
        <v>61</v>
      </c>
      <c r="B10" s="8">
        <v>0.5</v>
      </c>
      <c r="C10" s="8"/>
      <c r="D10" s="9" t="s">
        <v>20</v>
      </c>
      <c r="E10" s="9" t="s">
        <v>20</v>
      </c>
      <c r="F10" s="10"/>
      <c r="G10" s="11"/>
    </row>
    <row r="11" spans="1:7" x14ac:dyDescent="0.3">
      <c r="A11" s="23" t="s">
        <v>65</v>
      </c>
      <c r="B11" s="8">
        <v>0.5</v>
      </c>
      <c r="C11" s="8"/>
      <c r="D11" s="9" t="s">
        <v>20</v>
      </c>
      <c r="E11" s="9" t="s">
        <v>20</v>
      </c>
      <c r="F11" s="10"/>
      <c r="G11" s="11"/>
    </row>
    <row r="12" spans="1:7" x14ac:dyDescent="0.3">
      <c r="A12" s="23" t="s">
        <v>62</v>
      </c>
      <c r="B12" s="8">
        <v>0.66</v>
      </c>
      <c r="C12" s="8"/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0.67</v>
      </c>
      <c r="C13" s="8"/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0.67</v>
      </c>
      <c r="C14" s="8"/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0.25</v>
      </c>
      <c r="C15" s="8"/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0.25</v>
      </c>
      <c r="C16" s="8"/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/>
      <c r="D17" s="9" t="s">
        <v>20</v>
      </c>
      <c r="E17" s="9" t="s">
        <v>20</v>
      </c>
      <c r="F17" s="10"/>
      <c r="G17" s="11"/>
    </row>
    <row r="18" spans="1:7" x14ac:dyDescent="0.3">
      <c r="A18" s="23" t="s">
        <v>71</v>
      </c>
      <c r="B18" s="8">
        <v>0.75</v>
      </c>
      <c r="C18" s="8"/>
      <c r="D18" s="9"/>
      <c r="E18" s="9"/>
      <c r="F18" s="10"/>
      <c r="G18" s="11"/>
    </row>
    <row r="19" spans="1:7" x14ac:dyDescent="0.3">
      <c r="A19" s="23" t="s">
        <v>72</v>
      </c>
      <c r="B19" s="8">
        <v>0.75</v>
      </c>
      <c r="C19" s="8"/>
      <c r="D19" s="9" t="s">
        <v>20</v>
      </c>
      <c r="E19" s="9" t="s">
        <v>20</v>
      </c>
      <c r="F19" s="10"/>
      <c r="G19" s="11"/>
    </row>
    <row r="20" spans="1:7" x14ac:dyDescent="0.3">
      <c r="A20" s="23" t="s">
        <v>73</v>
      </c>
      <c r="B20" s="8">
        <v>0.5</v>
      </c>
      <c r="C20" s="8"/>
      <c r="D20" s="9"/>
      <c r="E20" s="9"/>
      <c r="F20" s="10"/>
      <c r="G20" s="11"/>
    </row>
    <row r="21" spans="1:7" x14ac:dyDescent="0.3">
      <c r="A21" s="23" t="s">
        <v>74</v>
      </c>
      <c r="B21" s="8">
        <v>0.5</v>
      </c>
      <c r="C21" s="8"/>
      <c r="D21" s="9" t="s">
        <v>20</v>
      </c>
      <c r="E21" s="9" t="s">
        <v>20</v>
      </c>
      <c r="F21" s="10"/>
      <c r="G21" s="11"/>
    </row>
    <row r="22" spans="1:7" x14ac:dyDescent="0.3">
      <c r="A22" s="23" t="s">
        <v>75</v>
      </c>
      <c r="B22" s="8">
        <v>0.75</v>
      </c>
      <c r="C22" s="8"/>
      <c r="D22" s="9" t="s">
        <v>20</v>
      </c>
      <c r="E22" s="9" t="s">
        <v>20</v>
      </c>
      <c r="F22" s="10"/>
      <c r="G22" s="11"/>
    </row>
    <row r="23" spans="1:7" x14ac:dyDescent="0.3">
      <c r="A23" s="23" t="s">
        <v>76</v>
      </c>
      <c r="B23" s="8">
        <v>0.75</v>
      </c>
      <c r="C23" s="8"/>
      <c r="D23" s="9"/>
      <c r="E23" s="9"/>
      <c r="F23" s="10"/>
      <c r="G23" s="11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12" t="s">
        <v>0</v>
      </c>
      <c r="B25" s="10">
        <f>SUM(B7:B23)</f>
        <v>10</v>
      </c>
      <c r="C25" s="2"/>
      <c r="D25" s="2"/>
      <c r="E25" s="1" t="s">
        <v>0</v>
      </c>
      <c r="F25" s="20">
        <f>SUM(F7:F19)</f>
        <v>0</v>
      </c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  <row r="56" spans="1:7" x14ac:dyDescent="0.3">
      <c r="A56" s="2"/>
      <c r="B56" s="2"/>
      <c r="C56" s="2"/>
      <c r="D56" s="2"/>
      <c r="E56" s="2"/>
      <c r="F56" s="2"/>
      <c r="G56" s="2"/>
    </row>
    <row r="57" spans="1:7" x14ac:dyDescent="0.3">
      <c r="A57" s="2"/>
      <c r="B57" s="2"/>
      <c r="C57" s="2"/>
      <c r="D57" s="2"/>
      <c r="E57" s="2"/>
      <c r="F57" s="2"/>
      <c r="G57" s="2"/>
    </row>
    <row r="58" spans="1:7" x14ac:dyDescent="0.3">
      <c r="A58" s="2"/>
      <c r="B58" s="2"/>
      <c r="C58" s="2"/>
      <c r="D58" s="2"/>
      <c r="E58" s="2"/>
      <c r="F58" s="2"/>
      <c r="G58" s="2"/>
    </row>
    <row r="59" spans="1:7" x14ac:dyDescent="0.3">
      <c r="A59" s="2"/>
      <c r="B59" s="2"/>
      <c r="C59" s="2"/>
      <c r="D59" s="2"/>
      <c r="E59" s="2"/>
      <c r="F59" s="2"/>
      <c r="G59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6462-4CED-4921-A3D7-CBC04F0F3FFF}">
  <sheetPr codeName="Sheet11"/>
  <dimension ref="A1:K59"/>
  <sheetViews>
    <sheetView zoomScale="115" zoomScaleNormal="115" workbookViewId="0">
      <selection activeCell="B24" sqref="B24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TSmidterm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27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47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TSmidterm_FJimenez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>
        <v>1</v>
      </c>
      <c r="B7" s="8">
        <v>1</v>
      </c>
      <c r="C7" s="8"/>
      <c r="D7" s="9" t="s">
        <v>20</v>
      </c>
      <c r="E7" s="9" t="s">
        <v>20</v>
      </c>
      <c r="F7" s="10"/>
      <c r="G7" s="11"/>
    </row>
    <row r="8" spans="1:7" x14ac:dyDescent="0.3">
      <c r="A8" s="23" t="s">
        <v>59</v>
      </c>
      <c r="B8" s="8">
        <v>0.5</v>
      </c>
      <c r="C8" s="8"/>
      <c r="D8" s="9" t="s">
        <v>20</v>
      </c>
      <c r="E8" s="9" t="s">
        <v>20</v>
      </c>
      <c r="F8" s="10"/>
      <c r="G8" s="11"/>
    </row>
    <row r="9" spans="1:7" x14ac:dyDescent="0.3">
      <c r="A9" s="23" t="s">
        <v>60</v>
      </c>
      <c r="B9" s="8">
        <v>0.5</v>
      </c>
      <c r="C9" s="8"/>
      <c r="D9" s="9" t="s">
        <v>20</v>
      </c>
      <c r="E9" s="9" t="s">
        <v>20</v>
      </c>
      <c r="F9" s="10"/>
      <c r="G9" s="11"/>
    </row>
    <row r="10" spans="1:7" x14ac:dyDescent="0.3">
      <c r="A10" s="23" t="s">
        <v>61</v>
      </c>
      <c r="B10" s="8">
        <v>0.5</v>
      </c>
      <c r="C10" s="8"/>
      <c r="D10" s="9" t="s">
        <v>20</v>
      </c>
      <c r="E10" s="9" t="s">
        <v>20</v>
      </c>
      <c r="F10" s="10"/>
      <c r="G10" s="11"/>
    </row>
    <row r="11" spans="1:7" x14ac:dyDescent="0.3">
      <c r="A11" s="23" t="s">
        <v>65</v>
      </c>
      <c r="B11" s="8">
        <v>0.5</v>
      </c>
      <c r="C11" s="8"/>
      <c r="D11" s="9" t="s">
        <v>20</v>
      </c>
      <c r="E11" s="9" t="s">
        <v>20</v>
      </c>
      <c r="F11" s="10"/>
      <c r="G11" s="11"/>
    </row>
    <row r="12" spans="1:7" x14ac:dyDescent="0.3">
      <c r="A12" s="23" t="s">
        <v>62</v>
      </c>
      <c r="B12" s="8">
        <v>0.66</v>
      </c>
      <c r="C12" s="8"/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0.67</v>
      </c>
      <c r="C13" s="8"/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0.67</v>
      </c>
      <c r="C14" s="8"/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0.25</v>
      </c>
      <c r="C15" s="8"/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0.25</v>
      </c>
      <c r="C16" s="8"/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/>
      <c r="D17" s="9" t="s">
        <v>20</v>
      </c>
      <c r="E17" s="9" t="s">
        <v>20</v>
      </c>
      <c r="F17" s="10"/>
      <c r="G17" s="11"/>
    </row>
    <row r="18" spans="1:7" x14ac:dyDescent="0.3">
      <c r="A18" s="23" t="s">
        <v>71</v>
      </c>
      <c r="B18" s="8">
        <v>0.75</v>
      </c>
      <c r="C18" s="8"/>
      <c r="D18" s="9"/>
      <c r="E18" s="9"/>
      <c r="F18" s="10"/>
      <c r="G18" s="11"/>
    </row>
    <row r="19" spans="1:7" x14ac:dyDescent="0.3">
      <c r="A19" s="23" t="s">
        <v>72</v>
      </c>
      <c r="B19" s="8">
        <v>0.75</v>
      </c>
      <c r="C19" s="8"/>
      <c r="D19" s="9" t="s">
        <v>20</v>
      </c>
      <c r="E19" s="9" t="s">
        <v>20</v>
      </c>
      <c r="F19" s="10"/>
      <c r="G19" s="11"/>
    </row>
    <row r="20" spans="1:7" x14ac:dyDescent="0.3">
      <c r="A20" s="23" t="s">
        <v>73</v>
      </c>
      <c r="B20" s="8">
        <v>0.5</v>
      </c>
      <c r="C20" s="8"/>
      <c r="D20" s="9"/>
      <c r="E20" s="9"/>
      <c r="F20" s="10"/>
      <c r="G20" s="11"/>
    </row>
    <row r="21" spans="1:7" x14ac:dyDescent="0.3">
      <c r="A21" s="23" t="s">
        <v>74</v>
      </c>
      <c r="B21" s="8">
        <v>0.5</v>
      </c>
      <c r="C21" s="8"/>
      <c r="D21" s="9" t="s">
        <v>20</v>
      </c>
      <c r="E21" s="9" t="s">
        <v>20</v>
      </c>
      <c r="F21" s="10"/>
      <c r="G21" s="11"/>
    </row>
    <row r="22" spans="1:7" x14ac:dyDescent="0.3">
      <c r="A22" s="23" t="s">
        <v>75</v>
      </c>
      <c r="B22" s="8">
        <v>0.75</v>
      </c>
      <c r="C22" s="8"/>
      <c r="D22" s="9" t="s">
        <v>20</v>
      </c>
      <c r="E22" s="9" t="s">
        <v>20</v>
      </c>
      <c r="F22" s="10"/>
      <c r="G22" s="11"/>
    </row>
    <row r="23" spans="1:7" x14ac:dyDescent="0.3">
      <c r="A23" s="23" t="s">
        <v>76</v>
      </c>
      <c r="B23" s="8">
        <v>0.75</v>
      </c>
      <c r="C23" s="8"/>
      <c r="D23" s="9"/>
      <c r="E23" s="9"/>
      <c r="F23" s="10"/>
      <c r="G23" s="11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12" t="s">
        <v>0</v>
      </c>
      <c r="B25" s="10">
        <f>SUM(B7:B23)</f>
        <v>10</v>
      </c>
      <c r="C25" s="2"/>
      <c r="D25" s="2"/>
      <c r="E25" s="1" t="s">
        <v>0</v>
      </c>
      <c r="F25" s="20">
        <f>SUM(F7:F19)</f>
        <v>0</v>
      </c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  <row r="56" spans="1:7" x14ac:dyDescent="0.3">
      <c r="A56" s="2"/>
      <c r="B56" s="2"/>
      <c r="C56" s="2"/>
      <c r="D56" s="2"/>
      <c r="E56" s="2"/>
      <c r="F56" s="2"/>
      <c r="G56" s="2"/>
    </row>
    <row r="57" spans="1:7" x14ac:dyDescent="0.3">
      <c r="A57" s="2"/>
      <c r="B57" s="2"/>
      <c r="C57" s="2"/>
      <c r="D57" s="2"/>
      <c r="E57" s="2"/>
      <c r="F57" s="2"/>
      <c r="G57" s="2"/>
    </row>
    <row r="58" spans="1:7" x14ac:dyDescent="0.3">
      <c r="A58" s="2"/>
      <c r="B58" s="2"/>
      <c r="C58" s="2"/>
      <c r="D58" s="2"/>
      <c r="E58" s="2"/>
      <c r="F58" s="2"/>
      <c r="G58" s="2"/>
    </row>
    <row r="59" spans="1:7" x14ac:dyDescent="0.3">
      <c r="A59" s="2"/>
      <c r="B59" s="2"/>
      <c r="C59" s="2"/>
      <c r="D59" s="2"/>
      <c r="E59" s="2"/>
      <c r="F59" s="2"/>
      <c r="G59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E3455-24CF-4EE5-BBCB-C8B7ED46876B}">
  <sheetPr codeName="Sheet12"/>
  <dimension ref="A1:K59"/>
  <sheetViews>
    <sheetView zoomScale="115" zoomScaleNormal="115" workbookViewId="0">
      <selection activeCell="B24" sqref="B24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TSmidterm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28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48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TSmidterm_VLopez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>
        <v>1</v>
      </c>
      <c r="B7" s="8">
        <v>1</v>
      </c>
      <c r="C7" s="8"/>
      <c r="D7" s="9" t="s">
        <v>20</v>
      </c>
      <c r="E7" s="9" t="s">
        <v>20</v>
      </c>
      <c r="F7" s="10"/>
      <c r="G7" s="11"/>
    </row>
    <row r="8" spans="1:7" x14ac:dyDescent="0.3">
      <c r="A8" s="23" t="s">
        <v>59</v>
      </c>
      <c r="B8" s="8">
        <v>0.5</v>
      </c>
      <c r="C8" s="8"/>
      <c r="D8" s="9" t="s">
        <v>20</v>
      </c>
      <c r="E8" s="9" t="s">
        <v>20</v>
      </c>
      <c r="F8" s="10"/>
      <c r="G8" s="11"/>
    </row>
    <row r="9" spans="1:7" x14ac:dyDescent="0.3">
      <c r="A9" s="23" t="s">
        <v>60</v>
      </c>
      <c r="B9" s="8">
        <v>0.5</v>
      </c>
      <c r="C9" s="8"/>
      <c r="D9" s="9" t="s">
        <v>20</v>
      </c>
      <c r="E9" s="9" t="s">
        <v>20</v>
      </c>
      <c r="F9" s="10"/>
      <c r="G9" s="11"/>
    </row>
    <row r="10" spans="1:7" x14ac:dyDescent="0.3">
      <c r="A10" s="23" t="s">
        <v>61</v>
      </c>
      <c r="B10" s="8">
        <v>0.5</v>
      </c>
      <c r="C10" s="8"/>
      <c r="D10" s="9" t="s">
        <v>20</v>
      </c>
      <c r="E10" s="9" t="s">
        <v>20</v>
      </c>
      <c r="F10" s="10"/>
      <c r="G10" s="11"/>
    </row>
    <row r="11" spans="1:7" x14ac:dyDescent="0.3">
      <c r="A11" s="23" t="s">
        <v>65</v>
      </c>
      <c r="B11" s="8">
        <v>0.5</v>
      </c>
      <c r="C11" s="8"/>
      <c r="D11" s="9" t="s">
        <v>20</v>
      </c>
      <c r="E11" s="9" t="s">
        <v>20</v>
      </c>
      <c r="F11" s="10"/>
      <c r="G11" s="11"/>
    </row>
    <row r="12" spans="1:7" x14ac:dyDescent="0.3">
      <c r="A12" s="23" t="s">
        <v>62</v>
      </c>
      <c r="B12" s="8">
        <v>0.66</v>
      </c>
      <c r="C12" s="8"/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0.67</v>
      </c>
      <c r="C13" s="8"/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0.67</v>
      </c>
      <c r="C14" s="8"/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0.25</v>
      </c>
      <c r="C15" s="8"/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0.25</v>
      </c>
      <c r="C16" s="8"/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/>
      <c r="D17" s="9" t="s">
        <v>20</v>
      </c>
      <c r="E17" s="9" t="s">
        <v>20</v>
      </c>
      <c r="F17" s="10"/>
      <c r="G17" s="11"/>
    </row>
    <row r="18" spans="1:7" x14ac:dyDescent="0.3">
      <c r="A18" s="23" t="s">
        <v>71</v>
      </c>
      <c r="B18" s="8">
        <v>0.75</v>
      </c>
      <c r="C18" s="8"/>
      <c r="D18" s="9"/>
      <c r="E18" s="9"/>
      <c r="F18" s="10"/>
      <c r="G18" s="11"/>
    </row>
    <row r="19" spans="1:7" x14ac:dyDescent="0.3">
      <c r="A19" s="23" t="s">
        <v>72</v>
      </c>
      <c r="B19" s="8">
        <v>0.75</v>
      </c>
      <c r="C19" s="8"/>
      <c r="D19" s="9" t="s">
        <v>20</v>
      </c>
      <c r="E19" s="9" t="s">
        <v>20</v>
      </c>
      <c r="F19" s="10"/>
      <c r="G19" s="11"/>
    </row>
    <row r="20" spans="1:7" x14ac:dyDescent="0.3">
      <c r="A20" s="23" t="s">
        <v>73</v>
      </c>
      <c r="B20" s="8">
        <v>0.5</v>
      </c>
      <c r="C20" s="8"/>
      <c r="D20" s="9"/>
      <c r="E20" s="9"/>
      <c r="F20" s="10"/>
      <c r="G20" s="11"/>
    </row>
    <row r="21" spans="1:7" x14ac:dyDescent="0.3">
      <c r="A21" s="23" t="s">
        <v>74</v>
      </c>
      <c r="B21" s="8">
        <v>0.5</v>
      </c>
      <c r="C21" s="8"/>
      <c r="D21" s="9" t="s">
        <v>20</v>
      </c>
      <c r="E21" s="9" t="s">
        <v>20</v>
      </c>
      <c r="F21" s="10"/>
      <c r="G21" s="11"/>
    </row>
    <row r="22" spans="1:7" x14ac:dyDescent="0.3">
      <c r="A22" s="23" t="s">
        <v>75</v>
      </c>
      <c r="B22" s="8">
        <v>0.75</v>
      </c>
      <c r="C22" s="8"/>
      <c r="D22" s="9" t="s">
        <v>20</v>
      </c>
      <c r="E22" s="9" t="s">
        <v>20</v>
      </c>
      <c r="F22" s="10"/>
      <c r="G22" s="11"/>
    </row>
    <row r="23" spans="1:7" x14ac:dyDescent="0.3">
      <c r="A23" s="23" t="s">
        <v>76</v>
      </c>
      <c r="B23" s="8">
        <v>0.75</v>
      </c>
      <c r="C23" s="8"/>
      <c r="D23" s="9"/>
      <c r="E23" s="9"/>
      <c r="F23" s="10"/>
      <c r="G23" s="11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12" t="s">
        <v>0</v>
      </c>
      <c r="B25" s="10">
        <f>SUM(B7:B23)</f>
        <v>10</v>
      </c>
      <c r="C25" s="2"/>
      <c r="D25" s="2"/>
      <c r="E25" s="1" t="s">
        <v>0</v>
      </c>
      <c r="F25" s="20">
        <f>SUM(F7:F19)</f>
        <v>0</v>
      </c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  <row r="56" spans="1:7" x14ac:dyDescent="0.3">
      <c r="A56" s="2"/>
      <c r="B56" s="2"/>
      <c r="C56" s="2"/>
      <c r="D56" s="2"/>
      <c r="E56" s="2"/>
      <c r="F56" s="2"/>
      <c r="G56" s="2"/>
    </row>
    <row r="57" spans="1:7" x14ac:dyDescent="0.3">
      <c r="A57" s="2"/>
      <c r="B57" s="2"/>
      <c r="C57" s="2"/>
      <c r="D57" s="2"/>
      <c r="E57" s="2"/>
      <c r="F57" s="2"/>
      <c r="G57" s="2"/>
    </row>
    <row r="58" spans="1:7" x14ac:dyDescent="0.3">
      <c r="A58" s="2"/>
      <c r="B58" s="2"/>
      <c r="C58" s="2"/>
      <c r="D58" s="2"/>
      <c r="E58" s="2"/>
      <c r="F58" s="2"/>
      <c r="G58" s="2"/>
    </row>
    <row r="59" spans="1:7" x14ac:dyDescent="0.3">
      <c r="A59" s="2"/>
      <c r="B59" s="2"/>
      <c r="C59" s="2"/>
      <c r="D59" s="2"/>
      <c r="E59" s="2"/>
      <c r="F59" s="2"/>
      <c r="G59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29F2C-0DA8-4513-AD39-1A209E63D3A3}">
  <sheetPr codeName="Sheet13"/>
  <dimension ref="A1:K59"/>
  <sheetViews>
    <sheetView zoomScale="115" zoomScaleNormal="115" workbookViewId="0">
      <selection activeCell="B24" sqref="B24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TSmidterm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29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49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TSmidterm_EMarmolejos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>
        <v>1</v>
      </c>
      <c r="B7" s="8">
        <v>1</v>
      </c>
      <c r="C7" s="8"/>
      <c r="D7" s="9" t="s">
        <v>20</v>
      </c>
      <c r="E7" s="9" t="s">
        <v>20</v>
      </c>
      <c r="F7" s="10"/>
      <c r="G7" s="11"/>
    </row>
    <row r="8" spans="1:7" x14ac:dyDescent="0.3">
      <c r="A8" s="23" t="s">
        <v>59</v>
      </c>
      <c r="B8" s="8">
        <v>0.5</v>
      </c>
      <c r="C8" s="8"/>
      <c r="D8" s="9" t="s">
        <v>20</v>
      </c>
      <c r="E8" s="9" t="s">
        <v>20</v>
      </c>
      <c r="F8" s="10"/>
      <c r="G8" s="11"/>
    </row>
    <row r="9" spans="1:7" x14ac:dyDescent="0.3">
      <c r="A9" s="23" t="s">
        <v>60</v>
      </c>
      <c r="B9" s="8">
        <v>0.5</v>
      </c>
      <c r="C9" s="8"/>
      <c r="D9" s="9" t="s">
        <v>20</v>
      </c>
      <c r="E9" s="9" t="s">
        <v>20</v>
      </c>
      <c r="F9" s="10"/>
      <c r="G9" s="11"/>
    </row>
    <row r="10" spans="1:7" x14ac:dyDescent="0.3">
      <c r="A10" s="23" t="s">
        <v>61</v>
      </c>
      <c r="B10" s="8">
        <v>0.5</v>
      </c>
      <c r="C10" s="8"/>
      <c r="D10" s="9" t="s">
        <v>20</v>
      </c>
      <c r="E10" s="9" t="s">
        <v>20</v>
      </c>
      <c r="F10" s="10"/>
      <c r="G10" s="11"/>
    </row>
    <row r="11" spans="1:7" x14ac:dyDescent="0.3">
      <c r="A11" s="23" t="s">
        <v>65</v>
      </c>
      <c r="B11" s="8">
        <v>0.5</v>
      </c>
      <c r="C11" s="8"/>
      <c r="D11" s="9" t="s">
        <v>20</v>
      </c>
      <c r="E11" s="9" t="s">
        <v>20</v>
      </c>
      <c r="F11" s="10"/>
      <c r="G11" s="11"/>
    </row>
    <row r="12" spans="1:7" x14ac:dyDescent="0.3">
      <c r="A12" s="23" t="s">
        <v>62</v>
      </c>
      <c r="B12" s="8">
        <v>0.66</v>
      </c>
      <c r="C12" s="8"/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0.67</v>
      </c>
      <c r="C13" s="8"/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0.67</v>
      </c>
      <c r="C14" s="8"/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0.25</v>
      </c>
      <c r="C15" s="8"/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0.25</v>
      </c>
      <c r="C16" s="8"/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/>
      <c r="D17" s="9" t="s">
        <v>20</v>
      </c>
      <c r="E17" s="9" t="s">
        <v>20</v>
      </c>
      <c r="F17" s="10"/>
      <c r="G17" s="11"/>
    </row>
    <row r="18" spans="1:7" x14ac:dyDescent="0.3">
      <c r="A18" s="23" t="s">
        <v>71</v>
      </c>
      <c r="B18" s="8">
        <v>0.75</v>
      </c>
      <c r="C18" s="8"/>
      <c r="D18" s="9"/>
      <c r="E18" s="9"/>
      <c r="F18" s="10"/>
      <c r="G18" s="11"/>
    </row>
    <row r="19" spans="1:7" x14ac:dyDescent="0.3">
      <c r="A19" s="23" t="s">
        <v>72</v>
      </c>
      <c r="B19" s="8">
        <v>0.75</v>
      </c>
      <c r="C19" s="8"/>
      <c r="D19" s="9" t="s">
        <v>20</v>
      </c>
      <c r="E19" s="9" t="s">
        <v>20</v>
      </c>
      <c r="F19" s="10"/>
      <c r="G19" s="11"/>
    </row>
    <row r="20" spans="1:7" x14ac:dyDescent="0.3">
      <c r="A20" s="23" t="s">
        <v>73</v>
      </c>
      <c r="B20" s="8">
        <v>0.5</v>
      </c>
      <c r="C20" s="8"/>
      <c r="D20" s="9"/>
      <c r="E20" s="9"/>
      <c r="F20" s="10"/>
      <c r="G20" s="11"/>
    </row>
    <row r="21" spans="1:7" x14ac:dyDescent="0.3">
      <c r="A21" s="23" t="s">
        <v>74</v>
      </c>
      <c r="B21" s="8">
        <v>0.5</v>
      </c>
      <c r="C21" s="8"/>
      <c r="D21" s="9" t="s">
        <v>20</v>
      </c>
      <c r="E21" s="9" t="s">
        <v>20</v>
      </c>
      <c r="F21" s="10"/>
      <c r="G21" s="11"/>
    </row>
    <row r="22" spans="1:7" x14ac:dyDescent="0.3">
      <c r="A22" s="23" t="s">
        <v>75</v>
      </c>
      <c r="B22" s="8">
        <v>0.75</v>
      </c>
      <c r="C22" s="8"/>
      <c r="D22" s="9" t="s">
        <v>20</v>
      </c>
      <c r="E22" s="9" t="s">
        <v>20</v>
      </c>
      <c r="F22" s="10"/>
      <c r="G22" s="11"/>
    </row>
    <row r="23" spans="1:7" x14ac:dyDescent="0.3">
      <c r="A23" s="23" t="s">
        <v>76</v>
      </c>
      <c r="B23" s="8">
        <v>0.75</v>
      </c>
      <c r="C23" s="8"/>
      <c r="D23" s="9"/>
      <c r="E23" s="9"/>
      <c r="F23" s="10"/>
      <c r="G23" s="11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12" t="s">
        <v>0</v>
      </c>
      <c r="B25" s="10">
        <f>SUM(B7:B23)</f>
        <v>10</v>
      </c>
      <c r="C25" s="2"/>
      <c r="D25" s="2"/>
      <c r="E25" s="1" t="s">
        <v>0</v>
      </c>
      <c r="F25" s="20">
        <f>SUM(F7:F19)</f>
        <v>0</v>
      </c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  <row r="56" spans="1:7" x14ac:dyDescent="0.3">
      <c r="A56" s="2"/>
      <c r="B56" s="2"/>
      <c r="C56" s="2"/>
      <c r="D56" s="2"/>
      <c r="E56" s="2"/>
      <c r="F56" s="2"/>
      <c r="G56" s="2"/>
    </row>
    <row r="57" spans="1:7" x14ac:dyDescent="0.3">
      <c r="A57" s="2"/>
      <c r="B57" s="2"/>
      <c r="C57" s="2"/>
      <c r="D57" s="2"/>
      <c r="E57" s="2"/>
      <c r="F57" s="2"/>
      <c r="G57" s="2"/>
    </row>
    <row r="58" spans="1:7" x14ac:dyDescent="0.3">
      <c r="A58" s="2"/>
      <c r="B58" s="2"/>
      <c r="C58" s="2"/>
      <c r="D58" s="2"/>
      <c r="E58" s="2"/>
      <c r="F58" s="2"/>
      <c r="G58" s="2"/>
    </row>
    <row r="59" spans="1:7" x14ac:dyDescent="0.3">
      <c r="A59" s="2"/>
      <c r="B59" s="2"/>
      <c r="C59" s="2"/>
      <c r="D59" s="2"/>
      <c r="E59" s="2"/>
      <c r="F59" s="2"/>
      <c r="G59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CBE38-CEED-46AC-9DD4-814C021D60BC}">
  <sheetPr codeName="Sheet14"/>
  <dimension ref="A1:K59"/>
  <sheetViews>
    <sheetView zoomScale="115" zoomScaleNormal="115" workbookViewId="0">
      <selection activeCell="B24" sqref="B24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TSmidterm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39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50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TSmidterm_SMartinez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>
        <v>1</v>
      </c>
      <c r="B7" s="8">
        <v>1</v>
      </c>
      <c r="C7" s="8"/>
      <c r="D7" s="9" t="s">
        <v>20</v>
      </c>
      <c r="E7" s="9" t="s">
        <v>20</v>
      </c>
      <c r="F7" s="10"/>
      <c r="G7" s="11"/>
    </row>
    <row r="8" spans="1:7" x14ac:dyDescent="0.3">
      <c r="A8" s="23" t="s">
        <v>59</v>
      </c>
      <c r="B8" s="8">
        <v>0.5</v>
      </c>
      <c r="C8" s="8"/>
      <c r="D8" s="9" t="s">
        <v>20</v>
      </c>
      <c r="E8" s="9" t="s">
        <v>20</v>
      </c>
      <c r="F8" s="10"/>
      <c r="G8" s="11"/>
    </row>
    <row r="9" spans="1:7" x14ac:dyDescent="0.3">
      <c r="A9" s="23" t="s">
        <v>60</v>
      </c>
      <c r="B9" s="8">
        <v>0.5</v>
      </c>
      <c r="C9" s="8"/>
      <c r="D9" s="9" t="s">
        <v>20</v>
      </c>
      <c r="E9" s="9" t="s">
        <v>20</v>
      </c>
      <c r="F9" s="10"/>
      <c r="G9" s="11"/>
    </row>
    <row r="10" spans="1:7" x14ac:dyDescent="0.3">
      <c r="A10" s="23" t="s">
        <v>61</v>
      </c>
      <c r="B10" s="8">
        <v>0.5</v>
      </c>
      <c r="C10" s="8"/>
      <c r="D10" s="9" t="s">
        <v>20</v>
      </c>
      <c r="E10" s="9" t="s">
        <v>20</v>
      </c>
      <c r="F10" s="10"/>
      <c r="G10" s="11"/>
    </row>
    <row r="11" spans="1:7" x14ac:dyDescent="0.3">
      <c r="A11" s="23" t="s">
        <v>65</v>
      </c>
      <c r="B11" s="8">
        <v>0.5</v>
      </c>
      <c r="C11" s="8"/>
      <c r="D11" s="9" t="s">
        <v>20</v>
      </c>
      <c r="E11" s="9" t="s">
        <v>20</v>
      </c>
      <c r="F11" s="10"/>
      <c r="G11" s="11"/>
    </row>
    <row r="12" spans="1:7" x14ac:dyDescent="0.3">
      <c r="A12" s="23" t="s">
        <v>62</v>
      </c>
      <c r="B12" s="8">
        <v>0.66</v>
      </c>
      <c r="C12" s="8"/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0.67</v>
      </c>
      <c r="C13" s="8"/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0.67</v>
      </c>
      <c r="C14" s="8"/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0.25</v>
      </c>
      <c r="C15" s="8"/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0.25</v>
      </c>
      <c r="C16" s="8"/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/>
      <c r="D17" s="9" t="s">
        <v>20</v>
      </c>
      <c r="E17" s="9" t="s">
        <v>20</v>
      </c>
      <c r="F17" s="10"/>
      <c r="G17" s="11"/>
    </row>
    <row r="18" spans="1:7" x14ac:dyDescent="0.3">
      <c r="A18" s="23" t="s">
        <v>71</v>
      </c>
      <c r="B18" s="8">
        <v>0.75</v>
      </c>
      <c r="C18" s="8"/>
      <c r="D18" s="9"/>
      <c r="E18" s="9"/>
      <c r="F18" s="10"/>
      <c r="G18" s="11"/>
    </row>
    <row r="19" spans="1:7" x14ac:dyDescent="0.3">
      <c r="A19" s="23" t="s">
        <v>72</v>
      </c>
      <c r="B19" s="8">
        <v>0.75</v>
      </c>
      <c r="C19" s="8"/>
      <c r="D19" s="9" t="s">
        <v>20</v>
      </c>
      <c r="E19" s="9" t="s">
        <v>20</v>
      </c>
      <c r="F19" s="10"/>
      <c r="G19" s="11"/>
    </row>
    <row r="20" spans="1:7" x14ac:dyDescent="0.3">
      <c r="A20" s="23" t="s">
        <v>73</v>
      </c>
      <c r="B20" s="8">
        <v>0.5</v>
      </c>
      <c r="C20" s="8"/>
      <c r="D20" s="9"/>
      <c r="E20" s="9"/>
      <c r="F20" s="10"/>
      <c r="G20" s="11"/>
    </row>
    <row r="21" spans="1:7" x14ac:dyDescent="0.3">
      <c r="A21" s="23" t="s">
        <v>74</v>
      </c>
      <c r="B21" s="8">
        <v>0.5</v>
      </c>
      <c r="C21" s="8"/>
      <c r="D21" s="9" t="s">
        <v>20</v>
      </c>
      <c r="E21" s="9" t="s">
        <v>20</v>
      </c>
      <c r="F21" s="10"/>
      <c r="G21" s="11"/>
    </row>
    <row r="22" spans="1:7" x14ac:dyDescent="0.3">
      <c r="A22" s="23" t="s">
        <v>75</v>
      </c>
      <c r="B22" s="8">
        <v>0.75</v>
      </c>
      <c r="C22" s="8"/>
      <c r="D22" s="9" t="s">
        <v>20</v>
      </c>
      <c r="E22" s="9" t="s">
        <v>20</v>
      </c>
      <c r="F22" s="10"/>
      <c r="G22" s="11"/>
    </row>
    <row r="23" spans="1:7" x14ac:dyDescent="0.3">
      <c r="A23" s="23" t="s">
        <v>76</v>
      </c>
      <c r="B23" s="8">
        <v>0.75</v>
      </c>
      <c r="C23" s="8"/>
      <c r="D23" s="9"/>
      <c r="E23" s="9"/>
      <c r="F23" s="10"/>
      <c r="G23" s="11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12" t="s">
        <v>0</v>
      </c>
      <c r="B25" s="10">
        <f>SUM(B7:B23)</f>
        <v>10</v>
      </c>
      <c r="C25" s="2"/>
      <c r="D25" s="2"/>
      <c r="E25" s="1" t="s">
        <v>0</v>
      </c>
      <c r="F25" s="20">
        <f>SUM(F7:F19)</f>
        <v>0</v>
      </c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  <row r="56" spans="1:7" x14ac:dyDescent="0.3">
      <c r="A56" s="2"/>
      <c r="B56" s="2"/>
      <c r="C56" s="2"/>
      <c r="D56" s="2"/>
      <c r="E56" s="2"/>
      <c r="F56" s="2"/>
      <c r="G56" s="2"/>
    </row>
    <row r="57" spans="1:7" x14ac:dyDescent="0.3">
      <c r="A57" s="2"/>
      <c r="B57" s="2"/>
      <c r="C57" s="2"/>
      <c r="D57" s="2"/>
      <c r="E57" s="2"/>
      <c r="F57" s="2"/>
      <c r="G57" s="2"/>
    </row>
    <row r="58" spans="1:7" x14ac:dyDescent="0.3">
      <c r="A58" s="2"/>
      <c r="B58" s="2"/>
      <c r="C58" s="2"/>
      <c r="D58" s="2"/>
      <c r="E58" s="2"/>
      <c r="F58" s="2"/>
      <c r="G58" s="2"/>
    </row>
    <row r="59" spans="1:7" x14ac:dyDescent="0.3">
      <c r="A59" s="2"/>
      <c r="B59" s="2"/>
      <c r="C59" s="2"/>
      <c r="D59" s="2"/>
      <c r="E59" s="2"/>
      <c r="F59" s="2"/>
      <c r="G59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F7FF5-2AEF-48D8-816C-0503E9D9AC84}">
  <sheetPr codeName="Sheet15"/>
  <dimension ref="A1:K59"/>
  <sheetViews>
    <sheetView zoomScale="115" zoomScaleNormal="115" workbookViewId="0">
      <selection activeCell="B24" sqref="B24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TSmidterm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30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51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TSmidterm_EMeier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>
        <v>1</v>
      </c>
      <c r="B7" s="8">
        <v>1</v>
      </c>
      <c r="C7" s="8"/>
      <c r="D7" s="9" t="s">
        <v>20</v>
      </c>
      <c r="E7" s="9" t="s">
        <v>20</v>
      </c>
      <c r="F7" s="10"/>
      <c r="G7" s="11"/>
    </row>
    <row r="8" spans="1:7" x14ac:dyDescent="0.3">
      <c r="A8" s="23" t="s">
        <v>59</v>
      </c>
      <c r="B8" s="8">
        <v>0.5</v>
      </c>
      <c r="C8" s="8"/>
      <c r="D8" s="9" t="s">
        <v>20</v>
      </c>
      <c r="E8" s="9" t="s">
        <v>20</v>
      </c>
      <c r="F8" s="10"/>
      <c r="G8" s="11"/>
    </row>
    <row r="9" spans="1:7" x14ac:dyDescent="0.3">
      <c r="A9" s="23" t="s">
        <v>60</v>
      </c>
      <c r="B9" s="8">
        <v>0.5</v>
      </c>
      <c r="C9" s="8"/>
      <c r="D9" s="9" t="s">
        <v>20</v>
      </c>
      <c r="E9" s="9" t="s">
        <v>20</v>
      </c>
      <c r="F9" s="10"/>
      <c r="G9" s="11"/>
    </row>
    <row r="10" spans="1:7" x14ac:dyDescent="0.3">
      <c r="A10" s="23" t="s">
        <v>61</v>
      </c>
      <c r="B10" s="8">
        <v>0.5</v>
      </c>
      <c r="C10" s="8"/>
      <c r="D10" s="9" t="s">
        <v>20</v>
      </c>
      <c r="E10" s="9" t="s">
        <v>20</v>
      </c>
      <c r="F10" s="10"/>
      <c r="G10" s="11"/>
    </row>
    <row r="11" spans="1:7" x14ac:dyDescent="0.3">
      <c r="A11" s="23" t="s">
        <v>65</v>
      </c>
      <c r="B11" s="8">
        <v>0.5</v>
      </c>
      <c r="C11" s="8"/>
      <c r="D11" s="9" t="s">
        <v>20</v>
      </c>
      <c r="E11" s="9" t="s">
        <v>20</v>
      </c>
      <c r="F11" s="10"/>
      <c r="G11" s="11"/>
    </row>
    <row r="12" spans="1:7" x14ac:dyDescent="0.3">
      <c r="A12" s="23" t="s">
        <v>62</v>
      </c>
      <c r="B12" s="8">
        <v>0.66</v>
      </c>
      <c r="C12" s="8"/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0.67</v>
      </c>
      <c r="C13" s="8"/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0.67</v>
      </c>
      <c r="C14" s="8"/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0.25</v>
      </c>
      <c r="C15" s="8"/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0.25</v>
      </c>
      <c r="C16" s="8"/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/>
      <c r="D17" s="9" t="s">
        <v>20</v>
      </c>
      <c r="E17" s="9" t="s">
        <v>20</v>
      </c>
      <c r="F17" s="10"/>
      <c r="G17" s="11"/>
    </row>
    <row r="18" spans="1:7" x14ac:dyDescent="0.3">
      <c r="A18" s="23" t="s">
        <v>71</v>
      </c>
      <c r="B18" s="8">
        <v>0.75</v>
      </c>
      <c r="C18" s="8"/>
      <c r="D18" s="9"/>
      <c r="E18" s="9"/>
      <c r="F18" s="10"/>
      <c r="G18" s="11"/>
    </row>
    <row r="19" spans="1:7" x14ac:dyDescent="0.3">
      <c r="A19" s="23" t="s">
        <v>72</v>
      </c>
      <c r="B19" s="8">
        <v>0.75</v>
      </c>
      <c r="C19" s="8"/>
      <c r="D19" s="9" t="s">
        <v>20</v>
      </c>
      <c r="E19" s="9" t="s">
        <v>20</v>
      </c>
      <c r="F19" s="10"/>
      <c r="G19" s="11"/>
    </row>
    <row r="20" spans="1:7" x14ac:dyDescent="0.3">
      <c r="A20" s="23" t="s">
        <v>73</v>
      </c>
      <c r="B20" s="8">
        <v>0.5</v>
      </c>
      <c r="C20" s="8"/>
      <c r="D20" s="9"/>
      <c r="E20" s="9"/>
      <c r="F20" s="10"/>
      <c r="G20" s="11"/>
    </row>
    <row r="21" spans="1:7" x14ac:dyDescent="0.3">
      <c r="A21" s="23" t="s">
        <v>74</v>
      </c>
      <c r="B21" s="8">
        <v>0.5</v>
      </c>
      <c r="C21" s="8"/>
      <c r="D21" s="9" t="s">
        <v>20</v>
      </c>
      <c r="E21" s="9" t="s">
        <v>20</v>
      </c>
      <c r="F21" s="10"/>
      <c r="G21" s="11"/>
    </row>
    <row r="22" spans="1:7" x14ac:dyDescent="0.3">
      <c r="A22" s="23" t="s">
        <v>75</v>
      </c>
      <c r="B22" s="8">
        <v>0.75</v>
      </c>
      <c r="C22" s="8"/>
      <c r="D22" s="9" t="s">
        <v>20</v>
      </c>
      <c r="E22" s="9" t="s">
        <v>20</v>
      </c>
      <c r="F22" s="10"/>
      <c r="G22" s="11"/>
    </row>
    <row r="23" spans="1:7" x14ac:dyDescent="0.3">
      <c r="A23" s="23" t="s">
        <v>76</v>
      </c>
      <c r="B23" s="8">
        <v>0.75</v>
      </c>
      <c r="C23" s="8"/>
      <c r="D23" s="9"/>
      <c r="E23" s="9"/>
      <c r="F23" s="10"/>
      <c r="G23" s="11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12" t="s">
        <v>0</v>
      </c>
      <c r="B25" s="10">
        <f>SUM(B7:B23)</f>
        <v>10</v>
      </c>
      <c r="C25" s="2"/>
      <c r="D25" s="2"/>
      <c r="E25" s="1" t="s">
        <v>0</v>
      </c>
      <c r="F25" s="20">
        <f>SUM(F7:F19)</f>
        <v>0</v>
      </c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  <row r="56" spans="1:7" x14ac:dyDescent="0.3">
      <c r="A56" s="2"/>
      <c r="B56" s="2"/>
      <c r="C56" s="2"/>
      <c r="D56" s="2"/>
      <c r="E56" s="2"/>
      <c r="F56" s="2"/>
      <c r="G56" s="2"/>
    </row>
    <row r="57" spans="1:7" x14ac:dyDescent="0.3">
      <c r="A57" s="2"/>
      <c r="B57" s="2"/>
      <c r="C57" s="2"/>
      <c r="D57" s="2"/>
      <c r="E57" s="2"/>
      <c r="F57" s="2"/>
      <c r="G57" s="2"/>
    </row>
    <row r="58" spans="1:7" x14ac:dyDescent="0.3">
      <c r="A58" s="2"/>
      <c r="B58" s="2"/>
      <c r="C58" s="2"/>
      <c r="D58" s="2"/>
      <c r="E58" s="2"/>
      <c r="F58" s="2"/>
      <c r="G58" s="2"/>
    </row>
    <row r="59" spans="1:7" x14ac:dyDescent="0.3">
      <c r="A59" s="2"/>
      <c r="B59" s="2"/>
      <c r="C59" s="2"/>
      <c r="D59" s="2"/>
      <c r="E59" s="2"/>
      <c r="F59" s="2"/>
      <c r="G59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6550B-28C6-4446-A0FE-18FB61E64ABB}">
  <sheetPr codeName="Sheet16"/>
  <dimension ref="A1:K59"/>
  <sheetViews>
    <sheetView zoomScale="115" zoomScaleNormal="115" workbookViewId="0">
      <selection activeCell="B24" sqref="B24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TSmidterm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31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52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TSmidterm_AOcariz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>
        <v>1</v>
      </c>
      <c r="B7" s="8">
        <v>1</v>
      </c>
      <c r="C7" s="8"/>
      <c r="D7" s="9" t="s">
        <v>20</v>
      </c>
      <c r="E7" s="9" t="s">
        <v>20</v>
      </c>
      <c r="F7" s="10"/>
      <c r="G7" s="11"/>
    </row>
    <row r="8" spans="1:7" x14ac:dyDescent="0.3">
      <c r="A8" s="23" t="s">
        <v>59</v>
      </c>
      <c r="B8" s="8">
        <v>0.5</v>
      </c>
      <c r="C8" s="8"/>
      <c r="D8" s="9" t="s">
        <v>20</v>
      </c>
      <c r="E8" s="9" t="s">
        <v>20</v>
      </c>
      <c r="F8" s="10"/>
      <c r="G8" s="11"/>
    </row>
    <row r="9" spans="1:7" x14ac:dyDescent="0.3">
      <c r="A9" s="23" t="s">
        <v>60</v>
      </c>
      <c r="B9" s="8">
        <v>0.5</v>
      </c>
      <c r="C9" s="8"/>
      <c r="D9" s="9" t="s">
        <v>20</v>
      </c>
      <c r="E9" s="9" t="s">
        <v>20</v>
      </c>
      <c r="F9" s="10"/>
      <c r="G9" s="11"/>
    </row>
    <row r="10" spans="1:7" x14ac:dyDescent="0.3">
      <c r="A10" s="23" t="s">
        <v>61</v>
      </c>
      <c r="B10" s="8">
        <v>0.5</v>
      </c>
      <c r="C10" s="8"/>
      <c r="D10" s="9" t="s">
        <v>20</v>
      </c>
      <c r="E10" s="9" t="s">
        <v>20</v>
      </c>
      <c r="F10" s="10"/>
      <c r="G10" s="11"/>
    </row>
    <row r="11" spans="1:7" x14ac:dyDescent="0.3">
      <c r="A11" s="23" t="s">
        <v>65</v>
      </c>
      <c r="B11" s="8">
        <v>0.5</v>
      </c>
      <c r="C11" s="8"/>
      <c r="D11" s="9" t="s">
        <v>20</v>
      </c>
      <c r="E11" s="9" t="s">
        <v>20</v>
      </c>
      <c r="F11" s="10"/>
      <c r="G11" s="11"/>
    </row>
    <row r="12" spans="1:7" x14ac:dyDescent="0.3">
      <c r="A12" s="23" t="s">
        <v>62</v>
      </c>
      <c r="B12" s="8">
        <v>0.66</v>
      </c>
      <c r="C12" s="8"/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0.67</v>
      </c>
      <c r="C13" s="8"/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0.67</v>
      </c>
      <c r="C14" s="8"/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0.25</v>
      </c>
      <c r="C15" s="8"/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0.25</v>
      </c>
      <c r="C16" s="8"/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/>
      <c r="D17" s="9" t="s">
        <v>20</v>
      </c>
      <c r="E17" s="9" t="s">
        <v>20</v>
      </c>
      <c r="F17" s="10"/>
      <c r="G17" s="11"/>
    </row>
    <row r="18" spans="1:7" x14ac:dyDescent="0.3">
      <c r="A18" s="23" t="s">
        <v>71</v>
      </c>
      <c r="B18" s="8">
        <v>0.75</v>
      </c>
      <c r="C18" s="8"/>
      <c r="D18" s="9"/>
      <c r="E18" s="9"/>
      <c r="F18" s="10"/>
      <c r="G18" s="11"/>
    </row>
    <row r="19" spans="1:7" x14ac:dyDescent="0.3">
      <c r="A19" s="23" t="s">
        <v>72</v>
      </c>
      <c r="B19" s="8">
        <v>0.75</v>
      </c>
      <c r="C19" s="8"/>
      <c r="D19" s="9" t="s">
        <v>20</v>
      </c>
      <c r="E19" s="9" t="s">
        <v>20</v>
      </c>
      <c r="F19" s="10"/>
      <c r="G19" s="11"/>
    </row>
    <row r="20" spans="1:7" x14ac:dyDescent="0.3">
      <c r="A20" s="23" t="s">
        <v>73</v>
      </c>
      <c r="B20" s="8">
        <v>0.5</v>
      </c>
      <c r="C20" s="8"/>
      <c r="D20" s="9"/>
      <c r="E20" s="9"/>
      <c r="F20" s="10"/>
      <c r="G20" s="11"/>
    </row>
    <row r="21" spans="1:7" x14ac:dyDescent="0.3">
      <c r="A21" s="23" t="s">
        <v>74</v>
      </c>
      <c r="B21" s="8">
        <v>0.5</v>
      </c>
      <c r="C21" s="8"/>
      <c r="D21" s="9" t="s">
        <v>20</v>
      </c>
      <c r="E21" s="9" t="s">
        <v>20</v>
      </c>
      <c r="F21" s="10"/>
      <c r="G21" s="11"/>
    </row>
    <row r="22" spans="1:7" x14ac:dyDescent="0.3">
      <c r="A22" s="23" t="s">
        <v>75</v>
      </c>
      <c r="B22" s="8">
        <v>0.75</v>
      </c>
      <c r="C22" s="8"/>
      <c r="D22" s="9" t="s">
        <v>20</v>
      </c>
      <c r="E22" s="9" t="s">
        <v>20</v>
      </c>
      <c r="F22" s="10"/>
      <c r="G22" s="11"/>
    </row>
    <row r="23" spans="1:7" x14ac:dyDescent="0.3">
      <c r="A23" s="23" t="s">
        <v>76</v>
      </c>
      <c r="B23" s="8">
        <v>0.75</v>
      </c>
      <c r="C23" s="8"/>
      <c r="D23" s="9"/>
      <c r="E23" s="9"/>
      <c r="F23" s="10"/>
      <c r="G23" s="11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12" t="s">
        <v>0</v>
      </c>
      <c r="B25" s="10">
        <f>SUM(B7:B23)</f>
        <v>10</v>
      </c>
      <c r="C25" s="2"/>
      <c r="D25" s="2"/>
      <c r="E25" s="1" t="s">
        <v>0</v>
      </c>
      <c r="F25" s="20">
        <f>SUM(F7:F19)</f>
        <v>0</v>
      </c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  <row r="56" spans="1:7" x14ac:dyDescent="0.3">
      <c r="A56" s="2"/>
      <c r="B56" s="2"/>
      <c r="C56" s="2"/>
      <c r="D56" s="2"/>
      <c r="E56" s="2"/>
      <c r="F56" s="2"/>
      <c r="G56" s="2"/>
    </row>
    <row r="57" spans="1:7" x14ac:dyDescent="0.3">
      <c r="A57" s="2"/>
      <c r="B57" s="2"/>
      <c r="C57" s="2"/>
      <c r="D57" s="2"/>
      <c r="E57" s="2"/>
      <c r="F57" s="2"/>
      <c r="G57" s="2"/>
    </row>
    <row r="58" spans="1:7" x14ac:dyDescent="0.3">
      <c r="A58" s="2"/>
      <c r="B58" s="2"/>
      <c r="C58" s="2"/>
      <c r="D58" s="2"/>
      <c r="E58" s="2"/>
      <c r="F58" s="2"/>
      <c r="G58" s="2"/>
    </row>
    <row r="59" spans="1:7" x14ac:dyDescent="0.3">
      <c r="A59" s="2"/>
      <c r="B59" s="2"/>
      <c r="C59" s="2"/>
      <c r="D59" s="2"/>
      <c r="E59" s="2"/>
      <c r="F59" s="2"/>
      <c r="G59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F3B53-A2A0-455F-BAB7-3619C277C720}">
  <sheetPr codeName="Sheet17"/>
  <dimension ref="A1:K59"/>
  <sheetViews>
    <sheetView zoomScale="115" zoomScaleNormal="115" workbookViewId="0">
      <selection activeCell="B24" sqref="B24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TSmidterm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32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53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TSmidterm_TPloquin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>
        <v>1</v>
      </c>
      <c r="B7" s="8">
        <v>1</v>
      </c>
      <c r="C7" s="8"/>
      <c r="D7" s="9" t="s">
        <v>20</v>
      </c>
      <c r="E7" s="9" t="s">
        <v>20</v>
      </c>
      <c r="F7" s="10"/>
      <c r="G7" s="11"/>
    </row>
    <row r="8" spans="1:7" x14ac:dyDescent="0.3">
      <c r="A8" s="23" t="s">
        <v>59</v>
      </c>
      <c r="B8" s="8">
        <v>0.5</v>
      </c>
      <c r="C8" s="8"/>
      <c r="D8" s="9" t="s">
        <v>20</v>
      </c>
      <c r="E8" s="9" t="s">
        <v>20</v>
      </c>
      <c r="F8" s="10"/>
      <c r="G8" s="11"/>
    </row>
    <row r="9" spans="1:7" x14ac:dyDescent="0.3">
      <c r="A9" s="23" t="s">
        <v>60</v>
      </c>
      <c r="B9" s="8">
        <v>0.5</v>
      </c>
      <c r="C9" s="8"/>
      <c r="D9" s="9" t="s">
        <v>20</v>
      </c>
      <c r="E9" s="9" t="s">
        <v>20</v>
      </c>
      <c r="F9" s="10"/>
      <c r="G9" s="11"/>
    </row>
    <row r="10" spans="1:7" x14ac:dyDescent="0.3">
      <c r="A10" s="23" t="s">
        <v>61</v>
      </c>
      <c r="B10" s="8">
        <v>0.5</v>
      </c>
      <c r="C10" s="8"/>
      <c r="D10" s="9" t="s">
        <v>20</v>
      </c>
      <c r="E10" s="9" t="s">
        <v>20</v>
      </c>
      <c r="F10" s="10"/>
      <c r="G10" s="11"/>
    </row>
    <row r="11" spans="1:7" x14ac:dyDescent="0.3">
      <c r="A11" s="23" t="s">
        <v>65</v>
      </c>
      <c r="B11" s="8">
        <v>0.5</v>
      </c>
      <c r="C11" s="8"/>
      <c r="D11" s="9" t="s">
        <v>20</v>
      </c>
      <c r="E11" s="9" t="s">
        <v>20</v>
      </c>
      <c r="F11" s="10"/>
      <c r="G11" s="11"/>
    </row>
    <row r="12" spans="1:7" x14ac:dyDescent="0.3">
      <c r="A12" s="23" t="s">
        <v>62</v>
      </c>
      <c r="B12" s="8">
        <v>0.66</v>
      </c>
      <c r="C12" s="8"/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0.67</v>
      </c>
      <c r="C13" s="8"/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0.67</v>
      </c>
      <c r="C14" s="8"/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0.25</v>
      </c>
      <c r="C15" s="8"/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0.25</v>
      </c>
      <c r="C16" s="8"/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/>
      <c r="D17" s="9" t="s">
        <v>20</v>
      </c>
      <c r="E17" s="9" t="s">
        <v>20</v>
      </c>
      <c r="F17" s="10"/>
      <c r="G17" s="11"/>
    </row>
    <row r="18" spans="1:7" x14ac:dyDescent="0.3">
      <c r="A18" s="23" t="s">
        <v>71</v>
      </c>
      <c r="B18" s="8">
        <v>0.75</v>
      </c>
      <c r="C18" s="8"/>
      <c r="D18" s="9"/>
      <c r="E18" s="9"/>
      <c r="F18" s="10"/>
      <c r="G18" s="11"/>
    </row>
    <row r="19" spans="1:7" x14ac:dyDescent="0.3">
      <c r="A19" s="23" t="s">
        <v>72</v>
      </c>
      <c r="B19" s="8">
        <v>0.75</v>
      </c>
      <c r="C19" s="8"/>
      <c r="D19" s="9" t="s">
        <v>20</v>
      </c>
      <c r="E19" s="9" t="s">
        <v>20</v>
      </c>
      <c r="F19" s="10"/>
      <c r="G19" s="11"/>
    </row>
    <row r="20" spans="1:7" x14ac:dyDescent="0.3">
      <c r="A20" s="23" t="s">
        <v>73</v>
      </c>
      <c r="B20" s="8">
        <v>0.5</v>
      </c>
      <c r="C20" s="8"/>
      <c r="D20" s="9"/>
      <c r="E20" s="9"/>
      <c r="F20" s="10"/>
      <c r="G20" s="11"/>
    </row>
    <row r="21" spans="1:7" x14ac:dyDescent="0.3">
      <c r="A21" s="23" t="s">
        <v>74</v>
      </c>
      <c r="B21" s="8">
        <v>0.5</v>
      </c>
      <c r="C21" s="8"/>
      <c r="D21" s="9" t="s">
        <v>20</v>
      </c>
      <c r="E21" s="9" t="s">
        <v>20</v>
      </c>
      <c r="F21" s="10"/>
      <c r="G21" s="11"/>
    </row>
    <row r="22" spans="1:7" x14ac:dyDescent="0.3">
      <c r="A22" s="23" t="s">
        <v>75</v>
      </c>
      <c r="B22" s="8">
        <v>0.75</v>
      </c>
      <c r="C22" s="8"/>
      <c r="D22" s="9" t="s">
        <v>20</v>
      </c>
      <c r="E22" s="9" t="s">
        <v>20</v>
      </c>
      <c r="F22" s="10"/>
      <c r="G22" s="11"/>
    </row>
    <row r="23" spans="1:7" x14ac:dyDescent="0.3">
      <c r="A23" s="23" t="s">
        <v>76</v>
      </c>
      <c r="B23" s="8">
        <v>0.75</v>
      </c>
      <c r="C23" s="8"/>
      <c r="D23" s="9"/>
      <c r="E23" s="9"/>
      <c r="F23" s="10"/>
      <c r="G23" s="11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12" t="s">
        <v>0</v>
      </c>
      <c r="B25" s="10">
        <f>SUM(B7:B23)</f>
        <v>10</v>
      </c>
      <c r="C25" s="2"/>
      <c r="D25" s="2"/>
      <c r="E25" s="1" t="s">
        <v>0</v>
      </c>
      <c r="F25" s="20">
        <f>SUM(F7:F19)</f>
        <v>0</v>
      </c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  <row r="56" spans="1:7" x14ac:dyDescent="0.3">
      <c r="A56" s="2"/>
      <c r="B56" s="2"/>
      <c r="C56" s="2"/>
      <c r="D56" s="2"/>
      <c r="E56" s="2"/>
      <c r="F56" s="2"/>
      <c r="G56" s="2"/>
    </row>
    <row r="57" spans="1:7" x14ac:dyDescent="0.3">
      <c r="A57" s="2"/>
      <c r="B57" s="2"/>
      <c r="C57" s="2"/>
      <c r="D57" s="2"/>
      <c r="E57" s="2"/>
      <c r="F57" s="2"/>
      <c r="G57" s="2"/>
    </row>
    <row r="58" spans="1:7" x14ac:dyDescent="0.3">
      <c r="A58" s="2"/>
      <c r="B58" s="2"/>
      <c r="C58" s="2"/>
      <c r="D58" s="2"/>
      <c r="E58" s="2"/>
      <c r="F58" s="2"/>
      <c r="G58" s="2"/>
    </row>
    <row r="59" spans="1:7" x14ac:dyDescent="0.3">
      <c r="A59" s="2"/>
      <c r="B59" s="2"/>
      <c r="C59" s="2"/>
      <c r="D59" s="2"/>
      <c r="E59" s="2"/>
      <c r="F59" s="2"/>
      <c r="G59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F82DB-577F-47CE-BBC6-A0AA5D28D115}">
  <sheetPr codeName="Sheet18"/>
  <dimension ref="A1:K59"/>
  <sheetViews>
    <sheetView zoomScale="115" zoomScaleNormal="115" workbookViewId="0">
      <selection activeCell="B24" sqref="B24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TSmidterm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33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54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TSmidterm_SRos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>
        <v>1</v>
      </c>
      <c r="B7" s="8">
        <v>1</v>
      </c>
      <c r="C7" s="8"/>
      <c r="D7" s="9" t="s">
        <v>20</v>
      </c>
      <c r="E7" s="9" t="s">
        <v>20</v>
      </c>
      <c r="F7" s="10"/>
      <c r="G7" s="11"/>
    </row>
    <row r="8" spans="1:7" x14ac:dyDescent="0.3">
      <c r="A8" s="23" t="s">
        <v>59</v>
      </c>
      <c r="B8" s="8">
        <v>0.5</v>
      </c>
      <c r="C8" s="8"/>
      <c r="D8" s="9" t="s">
        <v>20</v>
      </c>
      <c r="E8" s="9" t="s">
        <v>20</v>
      </c>
      <c r="F8" s="10"/>
      <c r="G8" s="11"/>
    </row>
    <row r="9" spans="1:7" x14ac:dyDescent="0.3">
      <c r="A9" s="23" t="s">
        <v>60</v>
      </c>
      <c r="B9" s="8">
        <v>0.5</v>
      </c>
      <c r="C9" s="8"/>
      <c r="D9" s="9" t="s">
        <v>20</v>
      </c>
      <c r="E9" s="9" t="s">
        <v>20</v>
      </c>
      <c r="F9" s="10"/>
      <c r="G9" s="11"/>
    </row>
    <row r="10" spans="1:7" x14ac:dyDescent="0.3">
      <c r="A10" s="23" t="s">
        <v>61</v>
      </c>
      <c r="B10" s="8">
        <v>0.5</v>
      </c>
      <c r="C10" s="8"/>
      <c r="D10" s="9" t="s">
        <v>20</v>
      </c>
      <c r="E10" s="9" t="s">
        <v>20</v>
      </c>
      <c r="F10" s="10"/>
      <c r="G10" s="11"/>
    </row>
    <row r="11" spans="1:7" x14ac:dyDescent="0.3">
      <c r="A11" s="23" t="s">
        <v>65</v>
      </c>
      <c r="B11" s="8">
        <v>0.5</v>
      </c>
      <c r="C11" s="8"/>
      <c r="D11" s="9" t="s">
        <v>20</v>
      </c>
      <c r="E11" s="9" t="s">
        <v>20</v>
      </c>
      <c r="F11" s="10"/>
      <c r="G11" s="11"/>
    </row>
    <row r="12" spans="1:7" x14ac:dyDescent="0.3">
      <c r="A12" s="23" t="s">
        <v>62</v>
      </c>
      <c r="B12" s="8">
        <v>0.66</v>
      </c>
      <c r="C12" s="8"/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0.67</v>
      </c>
      <c r="C13" s="8"/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0.67</v>
      </c>
      <c r="C14" s="8"/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0.25</v>
      </c>
      <c r="C15" s="8"/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0.25</v>
      </c>
      <c r="C16" s="8"/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/>
      <c r="D17" s="9" t="s">
        <v>20</v>
      </c>
      <c r="E17" s="9" t="s">
        <v>20</v>
      </c>
      <c r="F17" s="10"/>
      <c r="G17" s="11"/>
    </row>
    <row r="18" spans="1:7" x14ac:dyDescent="0.3">
      <c r="A18" s="23" t="s">
        <v>71</v>
      </c>
      <c r="B18" s="8">
        <v>0.75</v>
      </c>
      <c r="C18" s="8"/>
      <c r="D18" s="9"/>
      <c r="E18" s="9"/>
      <c r="F18" s="10"/>
      <c r="G18" s="11"/>
    </row>
    <row r="19" spans="1:7" x14ac:dyDescent="0.3">
      <c r="A19" s="23" t="s">
        <v>72</v>
      </c>
      <c r="B19" s="8">
        <v>0.75</v>
      </c>
      <c r="C19" s="8"/>
      <c r="D19" s="9" t="s">
        <v>20</v>
      </c>
      <c r="E19" s="9" t="s">
        <v>20</v>
      </c>
      <c r="F19" s="10"/>
      <c r="G19" s="11"/>
    </row>
    <row r="20" spans="1:7" x14ac:dyDescent="0.3">
      <c r="A20" s="23" t="s">
        <v>73</v>
      </c>
      <c r="B20" s="8">
        <v>0.5</v>
      </c>
      <c r="C20" s="8"/>
      <c r="D20" s="9"/>
      <c r="E20" s="9"/>
      <c r="F20" s="10"/>
      <c r="G20" s="11"/>
    </row>
    <row r="21" spans="1:7" x14ac:dyDescent="0.3">
      <c r="A21" s="23" t="s">
        <v>74</v>
      </c>
      <c r="B21" s="8">
        <v>0.5</v>
      </c>
      <c r="C21" s="8"/>
      <c r="D21" s="9" t="s">
        <v>20</v>
      </c>
      <c r="E21" s="9" t="s">
        <v>20</v>
      </c>
      <c r="F21" s="10"/>
      <c r="G21" s="11"/>
    </row>
    <row r="22" spans="1:7" x14ac:dyDescent="0.3">
      <c r="A22" s="23" t="s">
        <v>75</v>
      </c>
      <c r="B22" s="8">
        <v>0.75</v>
      </c>
      <c r="C22" s="8"/>
      <c r="D22" s="9" t="s">
        <v>20</v>
      </c>
      <c r="E22" s="9" t="s">
        <v>20</v>
      </c>
      <c r="F22" s="10"/>
      <c r="G22" s="11"/>
    </row>
    <row r="23" spans="1:7" x14ac:dyDescent="0.3">
      <c r="A23" s="23" t="s">
        <v>76</v>
      </c>
      <c r="B23" s="8">
        <v>0.75</v>
      </c>
      <c r="C23" s="8"/>
      <c r="D23" s="9"/>
      <c r="E23" s="9"/>
      <c r="F23" s="10"/>
      <c r="G23" s="11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12" t="s">
        <v>0</v>
      </c>
      <c r="B25" s="10">
        <f>SUM(B7:B23)</f>
        <v>10</v>
      </c>
      <c r="C25" s="2"/>
      <c r="D25" s="2"/>
      <c r="E25" s="1" t="s">
        <v>0</v>
      </c>
      <c r="F25" s="20">
        <f>SUM(F7:F19)</f>
        <v>0</v>
      </c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  <row r="56" spans="1:7" x14ac:dyDescent="0.3">
      <c r="A56" s="2"/>
      <c r="B56" s="2"/>
      <c r="C56" s="2"/>
      <c r="D56" s="2"/>
      <c r="E56" s="2"/>
      <c r="F56" s="2"/>
      <c r="G56" s="2"/>
    </row>
    <row r="57" spans="1:7" x14ac:dyDescent="0.3">
      <c r="A57" s="2"/>
      <c r="B57" s="2"/>
      <c r="C57" s="2"/>
      <c r="D57" s="2"/>
      <c r="E57" s="2"/>
      <c r="F57" s="2"/>
      <c r="G57" s="2"/>
    </row>
    <row r="58" spans="1:7" x14ac:dyDescent="0.3">
      <c r="A58" s="2"/>
      <c r="B58" s="2"/>
      <c r="C58" s="2"/>
      <c r="D58" s="2"/>
      <c r="E58" s="2"/>
      <c r="F58" s="2"/>
      <c r="G58" s="2"/>
    </row>
    <row r="59" spans="1:7" x14ac:dyDescent="0.3">
      <c r="A59" s="2"/>
      <c r="B59" s="2"/>
      <c r="C59" s="2"/>
      <c r="D59" s="2"/>
      <c r="E59" s="2"/>
      <c r="F59" s="2"/>
      <c r="G59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A8FF5-8EE8-45AB-A127-58236D3298BC}">
  <sheetPr codeName="Sheet19"/>
  <dimension ref="A1:K59"/>
  <sheetViews>
    <sheetView zoomScale="115" zoomScaleNormal="115" workbookViewId="0">
      <selection activeCell="B24" sqref="B24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TSmidterm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34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55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TSmidterm_DSaldarriaga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>
        <v>1</v>
      </c>
      <c r="B7" s="8">
        <v>1</v>
      </c>
      <c r="C7" s="8"/>
      <c r="D7" s="9" t="s">
        <v>20</v>
      </c>
      <c r="E7" s="9" t="s">
        <v>20</v>
      </c>
      <c r="F7" s="10"/>
      <c r="G7" s="11"/>
    </row>
    <row r="8" spans="1:7" x14ac:dyDescent="0.3">
      <c r="A8" s="23" t="s">
        <v>59</v>
      </c>
      <c r="B8" s="8">
        <v>0.5</v>
      </c>
      <c r="C8" s="8"/>
      <c r="D8" s="9" t="s">
        <v>20</v>
      </c>
      <c r="E8" s="9" t="s">
        <v>20</v>
      </c>
      <c r="F8" s="10"/>
      <c r="G8" s="11"/>
    </row>
    <row r="9" spans="1:7" x14ac:dyDescent="0.3">
      <c r="A9" s="23" t="s">
        <v>60</v>
      </c>
      <c r="B9" s="8">
        <v>0.5</v>
      </c>
      <c r="C9" s="8"/>
      <c r="D9" s="9" t="s">
        <v>20</v>
      </c>
      <c r="E9" s="9" t="s">
        <v>20</v>
      </c>
      <c r="F9" s="10"/>
      <c r="G9" s="11"/>
    </row>
    <row r="10" spans="1:7" x14ac:dyDescent="0.3">
      <c r="A10" s="23" t="s">
        <v>61</v>
      </c>
      <c r="B10" s="8">
        <v>0.5</v>
      </c>
      <c r="C10" s="8"/>
      <c r="D10" s="9" t="s">
        <v>20</v>
      </c>
      <c r="E10" s="9" t="s">
        <v>20</v>
      </c>
      <c r="F10" s="10"/>
      <c r="G10" s="11"/>
    </row>
    <row r="11" spans="1:7" x14ac:dyDescent="0.3">
      <c r="A11" s="23" t="s">
        <v>65</v>
      </c>
      <c r="B11" s="8">
        <v>0.5</v>
      </c>
      <c r="C11" s="8"/>
      <c r="D11" s="9" t="s">
        <v>20</v>
      </c>
      <c r="E11" s="9" t="s">
        <v>20</v>
      </c>
      <c r="F11" s="10"/>
      <c r="G11" s="11"/>
    </row>
    <row r="12" spans="1:7" x14ac:dyDescent="0.3">
      <c r="A12" s="23" t="s">
        <v>62</v>
      </c>
      <c r="B12" s="8">
        <v>0.66</v>
      </c>
      <c r="C12" s="8"/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0.67</v>
      </c>
      <c r="C13" s="8"/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0.67</v>
      </c>
      <c r="C14" s="8"/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0.25</v>
      </c>
      <c r="C15" s="8"/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0.25</v>
      </c>
      <c r="C16" s="8"/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/>
      <c r="D17" s="9" t="s">
        <v>20</v>
      </c>
      <c r="E17" s="9" t="s">
        <v>20</v>
      </c>
      <c r="F17" s="10"/>
      <c r="G17" s="11"/>
    </row>
    <row r="18" spans="1:7" x14ac:dyDescent="0.3">
      <c r="A18" s="23" t="s">
        <v>71</v>
      </c>
      <c r="B18" s="8">
        <v>0.75</v>
      </c>
      <c r="C18" s="8"/>
      <c r="D18" s="9"/>
      <c r="E18" s="9"/>
      <c r="F18" s="10"/>
      <c r="G18" s="11"/>
    </row>
    <row r="19" spans="1:7" x14ac:dyDescent="0.3">
      <c r="A19" s="23" t="s">
        <v>72</v>
      </c>
      <c r="B19" s="8">
        <v>0.75</v>
      </c>
      <c r="C19" s="8"/>
      <c r="D19" s="9" t="s">
        <v>20</v>
      </c>
      <c r="E19" s="9" t="s">
        <v>20</v>
      </c>
      <c r="F19" s="10"/>
      <c r="G19" s="11"/>
    </row>
    <row r="20" spans="1:7" x14ac:dyDescent="0.3">
      <c r="A20" s="23" t="s">
        <v>73</v>
      </c>
      <c r="B20" s="8">
        <v>0.5</v>
      </c>
      <c r="C20" s="8"/>
      <c r="D20" s="9"/>
      <c r="E20" s="9"/>
      <c r="F20" s="10"/>
      <c r="G20" s="11"/>
    </row>
    <row r="21" spans="1:7" x14ac:dyDescent="0.3">
      <c r="A21" s="23" t="s">
        <v>74</v>
      </c>
      <c r="B21" s="8">
        <v>0.5</v>
      </c>
      <c r="C21" s="8"/>
      <c r="D21" s="9" t="s">
        <v>20</v>
      </c>
      <c r="E21" s="9" t="s">
        <v>20</v>
      </c>
      <c r="F21" s="10"/>
      <c r="G21" s="11"/>
    </row>
    <row r="22" spans="1:7" x14ac:dyDescent="0.3">
      <c r="A22" s="23" t="s">
        <v>75</v>
      </c>
      <c r="B22" s="8">
        <v>0.75</v>
      </c>
      <c r="C22" s="8"/>
      <c r="D22" s="9" t="s">
        <v>20</v>
      </c>
      <c r="E22" s="9" t="s">
        <v>20</v>
      </c>
      <c r="F22" s="10"/>
      <c r="G22" s="11"/>
    </row>
    <row r="23" spans="1:7" x14ac:dyDescent="0.3">
      <c r="A23" s="23" t="s">
        <v>76</v>
      </c>
      <c r="B23" s="8">
        <v>0.75</v>
      </c>
      <c r="C23" s="8"/>
      <c r="D23" s="9"/>
      <c r="E23" s="9"/>
      <c r="F23" s="10"/>
      <c r="G23" s="11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12" t="s">
        <v>0</v>
      </c>
      <c r="B25" s="10">
        <f>SUM(B7:B23)</f>
        <v>10</v>
      </c>
      <c r="C25" s="2"/>
      <c r="D25" s="2"/>
      <c r="E25" s="1" t="s">
        <v>0</v>
      </c>
      <c r="F25" s="20">
        <f>SUM(F7:F19)</f>
        <v>0</v>
      </c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  <row r="56" spans="1:7" x14ac:dyDescent="0.3">
      <c r="A56" s="2"/>
      <c r="B56" s="2"/>
      <c r="C56" s="2"/>
      <c r="D56" s="2"/>
      <c r="E56" s="2"/>
      <c r="F56" s="2"/>
      <c r="G56" s="2"/>
    </row>
    <row r="57" spans="1:7" x14ac:dyDescent="0.3">
      <c r="A57" s="2"/>
      <c r="B57" s="2"/>
      <c r="C57" s="2"/>
      <c r="D57" s="2"/>
      <c r="E57" s="2"/>
      <c r="F57" s="2"/>
      <c r="G57" s="2"/>
    </row>
    <row r="58" spans="1:7" x14ac:dyDescent="0.3">
      <c r="A58" s="2"/>
      <c r="B58" s="2"/>
      <c r="C58" s="2"/>
      <c r="D58" s="2"/>
      <c r="E58" s="2"/>
      <c r="F58" s="2"/>
      <c r="G58" s="2"/>
    </row>
    <row r="59" spans="1:7" x14ac:dyDescent="0.3">
      <c r="A59" s="2"/>
      <c r="B59" s="2"/>
      <c r="C59" s="2"/>
      <c r="D59" s="2"/>
      <c r="E59" s="2"/>
      <c r="F59" s="2"/>
      <c r="G59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27952-3E79-47D6-ABA8-B94BD0369F9B}">
  <sheetPr codeName="Sheet20"/>
  <dimension ref="A1:K59"/>
  <sheetViews>
    <sheetView zoomScale="115" zoomScaleNormal="115" workbookViewId="0">
      <selection activeCell="B24" sqref="B24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TSmidterm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35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56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TSmidterm_JTasende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>
        <v>1</v>
      </c>
      <c r="B7" s="8">
        <v>1</v>
      </c>
      <c r="C7" s="8"/>
      <c r="D7" s="9" t="s">
        <v>20</v>
      </c>
      <c r="E7" s="9" t="s">
        <v>20</v>
      </c>
      <c r="F7" s="10"/>
      <c r="G7" s="11"/>
    </row>
    <row r="8" spans="1:7" x14ac:dyDescent="0.3">
      <c r="A8" s="23" t="s">
        <v>59</v>
      </c>
      <c r="B8" s="8">
        <v>0.5</v>
      </c>
      <c r="C8" s="8"/>
      <c r="D8" s="9" t="s">
        <v>20</v>
      </c>
      <c r="E8" s="9" t="s">
        <v>20</v>
      </c>
      <c r="F8" s="10"/>
      <c r="G8" s="11"/>
    </row>
    <row r="9" spans="1:7" x14ac:dyDescent="0.3">
      <c r="A9" s="23" t="s">
        <v>60</v>
      </c>
      <c r="B9" s="8">
        <v>0.5</v>
      </c>
      <c r="C9" s="8"/>
      <c r="D9" s="9" t="s">
        <v>20</v>
      </c>
      <c r="E9" s="9" t="s">
        <v>20</v>
      </c>
      <c r="F9" s="10"/>
      <c r="G9" s="11"/>
    </row>
    <row r="10" spans="1:7" x14ac:dyDescent="0.3">
      <c r="A10" s="23" t="s">
        <v>61</v>
      </c>
      <c r="B10" s="8">
        <v>0.5</v>
      </c>
      <c r="C10" s="8"/>
      <c r="D10" s="9" t="s">
        <v>20</v>
      </c>
      <c r="E10" s="9" t="s">
        <v>20</v>
      </c>
      <c r="F10" s="10"/>
      <c r="G10" s="11"/>
    </row>
    <row r="11" spans="1:7" x14ac:dyDescent="0.3">
      <c r="A11" s="23" t="s">
        <v>65</v>
      </c>
      <c r="B11" s="8">
        <v>0.5</v>
      </c>
      <c r="C11" s="8"/>
      <c r="D11" s="9" t="s">
        <v>20</v>
      </c>
      <c r="E11" s="9" t="s">
        <v>20</v>
      </c>
      <c r="F11" s="10"/>
      <c r="G11" s="11"/>
    </row>
    <row r="12" spans="1:7" x14ac:dyDescent="0.3">
      <c r="A12" s="23" t="s">
        <v>62</v>
      </c>
      <c r="B12" s="8">
        <v>0.66</v>
      </c>
      <c r="C12" s="8"/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0.67</v>
      </c>
      <c r="C13" s="8"/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0.67</v>
      </c>
      <c r="C14" s="8"/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0.25</v>
      </c>
      <c r="C15" s="8"/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0.25</v>
      </c>
      <c r="C16" s="8"/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/>
      <c r="D17" s="9" t="s">
        <v>20</v>
      </c>
      <c r="E17" s="9" t="s">
        <v>20</v>
      </c>
      <c r="F17" s="10"/>
      <c r="G17" s="11"/>
    </row>
    <row r="18" spans="1:7" x14ac:dyDescent="0.3">
      <c r="A18" s="23" t="s">
        <v>71</v>
      </c>
      <c r="B18" s="8">
        <v>0.75</v>
      </c>
      <c r="C18" s="8"/>
      <c r="D18" s="9"/>
      <c r="E18" s="9"/>
      <c r="F18" s="10"/>
      <c r="G18" s="11"/>
    </row>
    <row r="19" spans="1:7" x14ac:dyDescent="0.3">
      <c r="A19" s="23" t="s">
        <v>72</v>
      </c>
      <c r="B19" s="8">
        <v>0.75</v>
      </c>
      <c r="C19" s="8"/>
      <c r="D19" s="9" t="s">
        <v>20</v>
      </c>
      <c r="E19" s="9" t="s">
        <v>20</v>
      </c>
      <c r="F19" s="10"/>
      <c r="G19" s="11"/>
    </row>
    <row r="20" spans="1:7" x14ac:dyDescent="0.3">
      <c r="A20" s="23" t="s">
        <v>73</v>
      </c>
      <c r="B20" s="8">
        <v>0.5</v>
      </c>
      <c r="C20" s="8"/>
      <c r="D20" s="9"/>
      <c r="E20" s="9"/>
      <c r="F20" s="10"/>
      <c r="G20" s="11"/>
    </row>
    <row r="21" spans="1:7" x14ac:dyDescent="0.3">
      <c r="A21" s="23" t="s">
        <v>74</v>
      </c>
      <c r="B21" s="8">
        <v>0.5</v>
      </c>
      <c r="C21" s="8"/>
      <c r="D21" s="9" t="s">
        <v>20</v>
      </c>
      <c r="E21" s="9" t="s">
        <v>20</v>
      </c>
      <c r="F21" s="10"/>
      <c r="G21" s="11"/>
    </row>
    <row r="22" spans="1:7" x14ac:dyDescent="0.3">
      <c r="A22" s="23" t="s">
        <v>75</v>
      </c>
      <c r="B22" s="8">
        <v>0.75</v>
      </c>
      <c r="C22" s="8"/>
      <c r="D22" s="9" t="s">
        <v>20</v>
      </c>
      <c r="E22" s="9" t="s">
        <v>20</v>
      </c>
      <c r="F22" s="10"/>
      <c r="G22" s="11"/>
    </row>
    <row r="23" spans="1:7" x14ac:dyDescent="0.3">
      <c r="A23" s="23" t="s">
        <v>76</v>
      </c>
      <c r="B23" s="8">
        <v>0.75</v>
      </c>
      <c r="C23" s="8"/>
      <c r="D23" s="9"/>
      <c r="E23" s="9"/>
      <c r="F23" s="10"/>
      <c r="G23" s="11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12" t="s">
        <v>0</v>
      </c>
      <c r="B25" s="10">
        <f>SUM(B7:B23)</f>
        <v>10</v>
      </c>
      <c r="C25" s="2"/>
      <c r="D25" s="2"/>
      <c r="E25" s="1" t="s">
        <v>0</v>
      </c>
      <c r="F25" s="20">
        <f>SUM(F7:F19)</f>
        <v>0</v>
      </c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  <row r="56" spans="1:7" x14ac:dyDescent="0.3">
      <c r="A56" s="2"/>
      <c r="B56" s="2"/>
      <c r="C56" s="2"/>
      <c r="D56" s="2"/>
      <c r="E56" s="2"/>
      <c r="F56" s="2"/>
      <c r="G56" s="2"/>
    </row>
    <row r="57" spans="1:7" x14ac:dyDescent="0.3">
      <c r="A57" s="2"/>
      <c r="B57" s="2"/>
      <c r="C57" s="2"/>
      <c r="D57" s="2"/>
      <c r="E57" s="2"/>
      <c r="F57" s="2"/>
      <c r="G57" s="2"/>
    </row>
    <row r="58" spans="1:7" x14ac:dyDescent="0.3">
      <c r="A58" s="2"/>
      <c r="B58" s="2"/>
      <c r="C58" s="2"/>
      <c r="D58" s="2"/>
      <c r="E58" s="2"/>
      <c r="F58" s="2"/>
      <c r="G58" s="2"/>
    </row>
    <row r="59" spans="1:7" x14ac:dyDescent="0.3">
      <c r="A59" s="2"/>
      <c r="B59" s="2"/>
      <c r="C59" s="2"/>
      <c r="D59" s="2"/>
      <c r="E59" s="2"/>
      <c r="F59" s="2"/>
      <c r="G59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6FB02-6259-4E0A-9159-23A22F39FAA9}">
  <sheetPr codeName="Sheet21"/>
  <dimension ref="A1:K59"/>
  <sheetViews>
    <sheetView zoomScale="115" zoomScaleNormal="115" workbookViewId="0">
      <selection activeCell="B24" sqref="B24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TSmidterm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36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57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TSmidterm_SVásquez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>
        <v>1</v>
      </c>
      <c r="B7" s="8">
        <v>1</v>
      </c>
      <c r="C7" s="8"/>
      <c r="D7" s="9" t="s">
        <v>20</v>
      </c>
      <c r="E7" s="9" t="s">
        <v>20</v>
      </c>
      <c r="F7" s="10"/>
      <c r="G7" s="11"/>
    </row>
    <row r="8" spans="1:7" x14ac:dyDescent="0.3">
      <c r="A8" s="23" t="s">
        <v>59</v>
      </c>
      <c r="B8" s="8">
        <v>0.5</v>
      </c>
      <c r="C8" s="8"/>
      <c r="D8" s="9" t="s">
        <v>20</v>
      </c>
      <c r="E8" s="9" t="s">
        <v>20</v>
      </c>
      <c r="F8" s="10"/>
      <c r="G8" s="11"/>
    </row>
    <row r="9" spans="1:7" x14ac:dyDescent="0.3">
      <c r="A9" s="23" t="s">
        <v>60</v>
      </c>
      <c r="B9" s="8">
        <v>0.5</v>
      </c>
      <c r="C9" s="8"/>
      <c r="D9" s="9" t="s">
        <v>20</v>
      </c>
      <c r="E9" s="9" t="s">
        <v>20</v>
      </c>
      <c r="F9" s="10"/>
      <c r="G9" s="11"/>
    </row>
    <row r="10" spans="1:7" x14ac:dyDescent="0.3">
      <c r="A10" s="23" t="s">
        <v>61</v>
      </c>
      <c r="B10" s="8">
        <v>0.5</v>
      </c>
      <c r="C10" s="8"/>
      <c r="D10" s="9" t="s">
        <v>20</v>
      </c>
      <c r="E10" s="9" t="s">
        <v>20</v>
      </c>
      <c r="F10" s="10"/>
      <c r="G10" s="11"/>
    </row>
    <row r="11" spans="1:7" x14ac:dyDescent="0.3">
      <c r="A11" s="23" t="s">
        <v>65</v>
      </c>
      <c r="B11" s="8">
        <v>0.5</v>
      </c>
      <c r="C11" s="8"/>
      <c r="D11" s="9" t="s">
        <v>20</v>
      </c>
      <c r="E11" s="9" t="s">
        <v>20</v>
      </c>
      <c r="F11" s="10"/>
      <c r="G11" s="11"/>
    </row>
    <row r="12" spans="1:7" x14ac:dyDescent="0.3">
      <c r="A12" s="23" t="s">
        <v>62</v>
      </c>
      <c r="B12" s="8">
        <v>0.66</v>
      </c>
      <c r="C12" s="8"/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0.67</v>
      </c>
      <c r="C13" s="8"/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0.67</v>
      </c>
      <c r="C14" s="8"/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0.25</v>
      </c>
      <c r="C15" s="8"/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0.25</v>
      </c>
      <c r="C16" s="8"/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/>
      <c r="D17" s="9" t="s">
        <v>20</v>
      </c>
      <c r="E17" s="9" t="s">
        <v>20</v>
      </c>
      <c r="F17" s="10"/>
      <c r="G17" s="11"/>
    </row>
    <row r="18" spans="1:7" x14ac:dyDescent="0.3">
      <c r="A18" s="23" t="s">
        <v>71</v>
      </c>
      <c r="B18" s="8">
        <v>0.75</v>
      </c>
      <c r="C18" s="8"/>
      <c r="D18" s="9"/>
      <c r="E18" s="9"/>
      <c r="F18" s="10"/>
      <c r="G18" s="11"/>
    </row>
    <row r="19" spans="1:7" x14ac:dyDescent="0.3">
      <c r="A19" s="23" t="s">
        <v>72</v>
      </c>
      <c r="B19" s="8">
        <v>0.75</v>
      </c>
      <c r="C19" s="8"/>
      <c r="D19" s="9" t="s">
        <v>20</v>
      </c>
      <c r="E19" s="9" t="s">
        <v>20</v>
      </c>
      <c r="F19" s="10"/>
      <c r="G19" s="11"/>
    </row>
    <row r="20" spans="1:7" x14ac:dyDescent="0.3">
      <c r="A20" s="23" t="s">
        <v>73</v>
      </c>
      <c r="B20" s="8">
        <v>0.5</v>
      </c>
      <c r="C20" s="8"/>
      <c r="D20" s="9"/>
      <c r="E20" s="9"/>
      <c r="F20" s="10"/>
      <c r="G20" s="11"/>
    </row>
    <row r="21" spans="1:7" x14ac:dyDescent="0.3">
      <c r="A21" s="23" t="s">
        <v>74</v>
      </c>
      <c r="B21" s="8">
        <v>0.5</v>
      </c>
      <c r="C21" s="8"/>
      <c r="D21" s="9" t="s">
        <v>20</v>
      </c>
      <c r="E21" s="9" t="s">
        <v>20</v>
      </c>
      <c r="F21" s="10"/>
      <c r="G21" s="11"/>
    </row>
    <row r="22" spans="1:7" x14ac:dyDescent="0.3">
      <c r="A22" s="23" t="s">
        <v>75</v>
      </c>
      <c r="B22" s="8">
        <v>0.75</v>
      </c>
      <c r="C22" s="8"/>
      <c r="D22" s="9" t="s">
        <v>20</v>
      </c>
      <c r="E22" s="9" t="s">
        <v>20</v>
      </c>
      <c r="F22" s="10"/>
      <c r="G22" s="11"/>
    </row>
    <row r="23" spans="1:7" x14ac:dyDescent="0.3">
      <c r="A23" s="23" t="s">
        <v>76</v>
      </c>
      <c r="B23" s="8">
        <v>0.75</v>
      </c>
      <c r="C23" s="8"/>
      <c r="D23" s="9"/>
      <c r="E23" s="9"/>
      <c r="F23" s="10"/>
      <c r="G23" s="11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12" t="s">
        <v>0</v>
      </c>
      <c r="B25" s="10">
        <f>SUM(B7:B23)</f>
        <v>10</v>
      </c>
      <c r="C25" s="2"/>
      <c r="D25" s="2"/>
      <c r="E25" s="1" t="s">
        <v>0</v>
      </c>
      <c r="F25" s="20">
        <f>SUM(F7:F19)</f>
        <v>0</v>
      </c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  <row r="56" spans="1:7" x14ac:dyDescent="0.3">
      <c r="A56" s="2"/>
      <c r="B56" s="2"/>
      <c r="C56" s="2"/>
      <c r="D56" s="2"/>
      <c r="E56" s="2"/>
      <c r="F56" s="2"/>
      <c r="G56" s="2"/>
    </row>
    <row r="57" spans="1:7" x14ac:dyDescent="0.3">
      <c r="A57" s="2"/>
      <c r="B57" s="2"/>
      <c r="C57" s="2"/>
      <c r="D57" s="2"/>
      <c r="E57" s="2"/>
      <c r="F57" s="2"/>
      <c r="G57" s="2"/>
    </row>
    <row r="58" spans="1:7" x14ac:dyDescent="0.3">
      <c r="A58" s="2"/>
      <c r="B58" s="2"/>
      <c r="C58" s="2"/>
      <c r="D58" s="2"/>
      <c r="E58" s="2"/>
      <c r="F58" s="2"/>
      <c r="G58" s="2"/>
    </row>
    <row r="59" spans="1:7" x14ac:dyDescent="0.3">
      <c r="A59" s="2"/>
      <c r="B59" s="2"/>
      <c r="C59" s="2"/>
      <c r="D59" s="2"/>
      <c r="E59" s="2"/>
      <c r="F59" s="2"/>
      <c r="G59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0FE9B-AD24-4880-910D-ADE8C85EDFC2}">
  <sheetPr codeName="Sheet22"/>
  <dimension ref="A1:K59"/>
  <sheetViews>
    <sheetView zoomScale="115" zoomScaleNormal="115" workbookViewId="0">
      <selection activeCell="B24" sqref="B24"/>
    </sheetView>
  </sheetViews>
  <sheetFormatPr defaultColWidth="0" defaultRowHeight="14.4" x14ac:dyDescent="0.3"/>
  <cols>
    <col min="1" max="1" width="13.6640625" style="3" bestFit="1" customWidth="1"/>
    <col min="2" max="2" width="5.5546875" style="3" customWidth="1"/>
    <col min="3" max="3" width="61.88671875" style="3" customWidth="1"/>
    <col min="4" max="4" width="8.5546875" style="3" bestFit="1" customWidth="1"/>
    <col min="5" max="5" width="10.5546875" style="3" bestFit="1" customWidth="1"/>
    <col min="6" max="6" width="6.44140625" style="3" bestFit="1" customWidth="1"/>
    <col min="7" max="7" width="46.33203125" style="3" customWidth="1"/>
    <col min="8" max="11" width="0" style="3" hidden="1" customWidth="1"/>
    <col min="12" max="16384" width="9.109375" style="3" hidden="1"/>
  </cols>
  <sheetData>
    <row r="1" spans="1:7" x14ac:dyDescent="0.3">
      <c r="A1" s="1" t="s">
        <v>3</v>
      </c>
      <c r="B1" s="29" t="str">
        <f>student_names!B2</f>
        <v>TSmidterm</v>
      </c>
      <c r="C1" s="29"/>
      <c r="D1" s="2"/>
      <c r="E1" s="2"/>
      <c r="F1" s="2"/>
      <c r="G1" s="2"/>
    </row>
    <row r="2" spans="1:7" x14ac:dyDescent="0.3">
      <c r="A2" s="1" t="s">
        <v>4</v>
      </c>
      <c r="B2" s="29" t="s">
        <v>37</v>
      </c>
      <c r="C2" s="29"/>
      <c r="D2" s="2"/>
      <c r="E2" s="2"/>
      <c r="F2" s="2"/>
      <c r="G2" s="2"/>
    </row>
    <row r="3" spans="1:7" x14ac:dyDescent="0.3">
      <c r="A3" s="1" t="s">
        <v>6</v>
      </c>
      <c r="B3" s="29" t="s">
        <v>58</v>
      </c>
      <c r="C3" s="29"/>
      <c r="D3" s="2"/>
      <c r="E3" s="2"/>
      <c r="F3" s="2"/>
      <c r="G3" s="2"/>
    </row>
    <row r="4" spans="1:7" x14ac:dyDescent="0.3">
      <c r="A4" s="1" t="s">
        <v>15</v>
      </c>
      <c r="B4" s="30" t="str">
        <f>B1 &amp; "_" &amp; LEFT(SUBSTITUTE(student_name, " ", ""), 1) &amp; SUBSTITUTE(student_surname, " ", "")</f>
        <v>TSmidterm_DVillalain</v>
      </c>
      <c r="C4" s="31"/>
      <c r="D4" s="2"/>
      <c r="E4" s="2"/>
      <c r="F4" s="2"/>
      <c r="G4" s="2"/>
    </row>
    <row r="5" spans="1:7" ht="15" thickBot="1" x14ac:dyDescent="0.35">
      <c r="A5" s="2"/>
      <c r="B5" s="2"/>
      <c r="C5" s="2"/>
      <c r="D5" s="2"/>
      <c r="E5" s="2"/>
      <c r="F5" s="2"/>
      <c r="G5" s="2"/>
    </row>
    <row r="6" spans="1:7" x14ac:dyDescent="0.3">
      <c r="A6" s="4" t="s">
        <v>2</v>
      </c>
      <c r="B6" s="5" t="s">
        <v>1</v>
      </c>
      <c r="C6" s="6" t="s">
        <v>8</v>
      </c>
      <c r="D6" s="6" t="s">
        <v>9</v>
      </c>
      <c r="E6" s="6" t="s">
        <v>10</v>
      </c>
      <c r="F6" s="6" t="s">
        <v>11</v>
      </c>
      <c r="G6" s="7" t="s">
        <v>12</v>
      </c>
    </row>
    <row r="7" spans="1:7" x14ac:dyDescent="0.3">
      <c r="A7" s="23">
        <v>1</v>
      </c>
      <c r="B7" s="8">
        <v>1</v>
      </c>
      <c r="C7" s="8"/>
      <c r="D7" s="9" t="s">
        <v>20</v>
      </c>
      <c r="E7" s="9" t="s">
        <v>20</v>
      </c>
      <c r="F7" s="10"/>
      <c r="G7" s="11"/>
    </row>
    <row r="8" spans="1:7" x14ac:dyDescent="0.3">
      <c r="A8" s="23" t="s">
        <v>59</v>
      </c>
      <c r="B8" s="8">
        <v>0.5</v>
      </c>
      <c r="C8" s="8"/>
      <c r="D8" s="9" t="s">
        <v>20</v>
      </c>
      <c r="E8" s="9" t="s">
        <v>20</v>
      </c>
      <c r="F8" s="10"/>
      <c r="G8" s="11"/>
    </row>
    <row r="9" spans="1:7" x14ac:dyDescent="0.3">
      <c r="A9" s="23" t="s">
        <v>60</v>
      </c>
      <c r="B9" s="8">
        <v>0.5</v>
      </c>
      <c r="C9" s="8"/>
      <c r="D9" s="9" t="s">
        <v>20</v>
      </c>
      <c r="E9" s="9" t="s">
        <v>20</v>
      </c>
      <c r="F9" s="10"/>
      <c r="G9" s="11"/>
    </row>
    <row r="10" spans="1:7" x14ac:dyDescent="0.3">
      <c r="A10" s="23" t="s">
        <v>61</v>
      </c>
      <c r="B10" s="8">
        <v>0.5</v>
      </c>
      <c r="C10" s="8"/>
      <c r="D10" s="9" t="s">
        <v>20</v>
      </c>
      <c r="E10" s="9" t="s">
        <v>20</v>
      </c>
      <c r="F10" s="10"/>
      <c r="G10" s="11"/>
    </row>
    <row r="11" spans="1:7" x14ac:dyDescent="0.3">
      <c r="A11" s="23" t="s">
        <v>65</v>
      </c>
      <c r="B11" s="8">
        <v>0.5</v>
      </c>
      <c r="C11" s="8"/>
      <c r="D11" s="9" t="s">
        <v>20</v>
      </c>
      <c r="E11" s="9" t="s">
        <v>20</v>
      </c>
      <c r="F11" s="10"/>
      <c r="G11" s="11"/>
    </row>
    <row r="12" spans="1:7" x14ac:dyDescent="0.3">
      <c r="A12" s="23" t="s">
        <v>62</v>
      </c>
      <c r="B12" s="8">
        <v>0.66</v>
      </c>
      <c r="C12" s="8"/>
      <c r="D12" s="9" t="s">
        <v>20</v>
      </c>
      <c r="E12" s="9" t="s">
        <v>20</v>
      </c>
      <c r="F12" s="10"/>
      <c r="G12" s="11"/>
    </row>
    <row r="13" spans="1:7" x14ac:dyDescent="0.3">
      <c r="A13" s="23" t="s">
        <v>66</v>
      </c>
      <c r="B13" s="8">
        <v>0.67</v>
      </c>
      <c r="C13" s="8"/>
      <c r="D13" s="9" t="s">
        <v>20</v>
      </c>
      <c r="E13" s="9" t="s">
        <v>20</v>
      </c>
      <c r="F13" s="10"/>
      <c r="G13" s="11"/>
    </row>
    <row r="14" spans="1:7" x14ac:dyDescent="0.3">
      <c r="A14" s="23" t="s">
        <v>67</v>
      </c>
      <c r="B14" s="8">
        <v>0.67</v>
      </c>
      <c r="C14" s="8"/>
      <c r="D14" s="9" t="s">
        <v>20</v>
      </c>
      <c r="E14" s="9" t="s">
        <v>20</v>
      </c>
      <c r="F14" s="10"/>
      <c r="G14" s="11"/>
    </row>
    <row r="15" spans="1:7" x14ac:dyDescent="0.3">
      <c r="A15" s="23" t="s">
        <v>68</v>
      </c>
      <c r="B15" s="8">
        <v>0.25</v>
      </c>
      <c r="C15" s="8"/>
      <c r="D15" s="9" t="s">
        <v>20</v>
      </c>
      <c r="E15" s="9" t="s">
        <v>20</v>
      </c>
      <c r="F15" s="10"/>
      <c r="G15" s="11"/>
    </row>
    <row r="16" spans="1:7" x14ac:dyDescent="0.3">
      <c r="A16" s="23" t="s">
        <v>69</v>
      </c>
      <c r="B16" s="8">
        <v>0.25</v>
      </c>
      <c r="C16" s="8"/>
      <c r="D16" s="9" t="s">
        <v>20</v>
      </c>
      <c r="E16" s="9" t="s">
        <v>20</v>
      </c>
      <c r="F16" s="10"/>
      <c r="G16" s="11"/>
    </row>
    <row r="17" spans="1:7" x14ac:dyDescent="0.3">
      <c r="A17" s="23" t="s">
        <v>70</v>
      </c>
      <c r="B17" s="8">
        <v>0.5</v>
      </c>
      <c r="C17" s="8"/>
      <c r="D17" s="9" t="s">
        <v>20</v>
      </c>
      <c r="E17" s="9" t="s">
        <v>20</v>
      </c>
      <c r="F17" s="10"/>
      <c r="G17" s="11"/>
    </row>
    <row r="18" spans="1:7" x14ac:dyDescent="0.3">
      <c r="A18" s="23" t="s">
        <v>71</v>
      </c>
      <c r="B18" s="8">
        <v>0.75</v>
      </c>
      <c r="C18" s="8"/>
      <c r="D18" s="9"/>
      <c r="E18" s="9"/>
      <c r="F18" s="10"/>
      <c r="G18" s="11"/>
    </row>
    <row r="19" spans="1:7" x14ac:dyDescent="0.3">
      <c r="A19" s="23" t="s">
        <v>72</v>
      </c>
      <c r="B19" s="8">
        <v>0.75</v>
      </c>
      <c r="C19" s="8"/>
      <c r="D19" s="9" t="s">
        <v>20</v>
      </c>
      <c r="E19" s="9" t="s">
        <v>20</v>
      </c>
      <c r="F19" s="10"/>
      <c r="G19" s="11"/>
    </row>
    <row r="20" spans="1:7" x14ac:dyDescent="0.3">
      <c r="A20" s="23" t="s">
        <v>73</v>
      </c>
      <c r="B20" s="8">
        <v>0.5</v>
      </c>
      <c r="C20" s="8"/>
      <c r="D20" s="9"/>
      <c r="E20" s="9"/>
      <c r="F20" s="10"/>
      <c r="G20" s="11"/>
    </row>
    <row r="21" spans="1:7" x14ac:dyDescent="0.3">
      <c r="A21" s="23" t="s">
        <v>74</v>
      </c>
      <c r="B21" s="8">
        <v>0.5</v>
      </c>
      <c r="C21" s="8"/>
      <c r="D21" s="9" t="s">
        <v>20</v>
      </c>
      <c r="E21" s="9" t="s">
        <v>20</v>
      </c>
      <c r="F21" s="10"/>
      <c r="G21" s="11"/>
    </row>
    <row r="22" spans="1:7" x14ac:dyDescent="0.3">
      <c r="A22" s="23" t="s">
        <v>75</v>
      </c>
      <c r="B22" s="8">
        <v>0.75</v>
      </c>
      <c r="C22" s="8"/>
      <c r="D22" s="9" t="s">
        <v>20</v>
      </c>
      <c r="E22" s="9" t="s">
        <v>20</v>
      </c>
      <c r="F22" s="10"/>
      <c r="G22" s="11"/>
    </row>
    <row r="23" spans="1:7" x14ac:dyDescent="0.3">
      <c r="A23" s="23" t="s">
        <v>76</v>
      </c>
      <c r="B23" s="8">
        <v>0.75</v>
      </c>
      <c r="C23" s="8"/>
      <c r="D23" s="9"/>
      <c r="E23" s="9"/>
      <c r="F23" s="10"/>
      <c r="G23" s="11"/>
    </row>
    <row r="24" spans="1:7" x14ac:dyDescent="0.3">
      <c r="A24" s="2"/>
      <c r="B24" s="2"/>
      <c r="C24" s="2"/>
      <c r="D24" s="2"/>
      <c r="E24" s="2"/>
      <c r="F24" s="2"/>
      <c r="G24" s="2"/>
    </row>
    <row r="25" spans="1:7" x14ac:dyDescent="0.3">
      <c r="A25" s="12" t="s">
        <v>0</v>
      </c>
      <c r="B25" s="10">
        <f>SUM(B7:B23)</f>
        <v>10</v>
      </c>
      <c r="C25" s="2"/>
      <c r="D25" s="2"/>
      <c r="E25" s="1" t="s">
        <v>0</v>
      </c>
      <c r="F25" s="20">
        <f>SUM(F7:F19)</f>
        <v>0</v>
      </c>
      <c r="G25" s="2"/>
    </row>
    <row r="26" spans="1:7" x14ac:dyDescent="0.3">
      <c r="A26" s="2"/>
      <c r="B26" s="2"/>
      <c r="C26" s="2"/>
      <c r="D26" s="2"/>
      <c r="E26" s="2"/>
      <c r="F26" s="2"/>
      <c r="G26" s="2"/>
    </row>
    <row r="27" spans="1:7" x14ac:dyDescent="0.3">
      <c r="A27" s="2"/>
      <c r="B27" s="2"/>
      <c r="C27" s="2"/>
      <c r="D27" s="2"/>
      <c r="E27" s="2"/>
      <c r="F27" s="2"/>
      <c r="G27" s="2"/>
    </row>
    <row r="28" spans="1:7" x14ac:dyDescent="0.3">
      <c r="A28" s="2"/>
      <c r="B28" s="2"/>
      <c r="C28" s="2"/>
      <c r="D28" s="2"/>
      <c r="E28" s="2"/>
      <c r="F28" s="2"/>
      <c r="G28" s="2"/>
    </row>
    <row r="29" spans="1:7" x14ac:dyDescent="0.3">
      <c r="A29" s="2"/>
      <c r="B29" s="2"/>
      <c r="C29" s="2"/>
      <c r="D29" s="2"/>
      <c r="E29" s="2"/>
      <c r="F29" s="2"/>
      <c r="G29" s="2"/>
    </row>
    <row r="30" spans="1:7" x14ac:dyDescent="0.3">
      <c r="A30" s="2"/>
      <c r="B30" s="2"/>
      <c r="C30" s="2"/>
      <c r="D30" s="2"/>
      <c r="E30" s="2"/>
      <c r="F30" s="2"/>
      <c r="G30" s="2"/>
    </row>
    <row r="31" spans="1:7" x14ac:dyDescent="0.3">
      <c r="A31" s="2"/>
      <c r="B31" s="2"/>
      <c r="C31" s="2"/>
      <c r="D31" s="2"/>
      <c r="E31" s="2"/>
      <c r="F31" s="2"/>
      <c r="G31" s="2"/>
    </row>
    <row r="32" spans="1:7" x14ac:dyDescent="0.3">
      <c r="A32" s="2"/>
      <c r="B32" s="2"/>
      <c r="C32" s="2"/>
      <c r="D32" s="2"/>
      <c r="E32" s="2"/>
      <c r="F32" s="2"/>
      <c r="G32" s="2"/>
    </row>
    <row r="33" spans="1:7" x14ac:dyDescent="0.3">
      <c r="A33" s="2"/>
      <c r="B33" s="2"/>
      <c r="C33" s="2"/>
      <c r="D33" s="2"/>
      <c r="E33" s="2"/>
      <c r="F33" s="2"/>
      <c r="G33" s="2"/>
    </row>
    <row r="34" spans="1:7" x14ac:dyDescent="0.3">
      <c r="A34" s="2"/>
      <c r="B34" s="2"/>
      <c r="C34" s="2"/>
      <c r="D34" s="2"/>
      <c r="E34" s="2"/>
      <c r="F34" s="2"/>
      <c r="G34" s="2"/>
    </row>
    <row r="35" spans="1:7" x14ac:dyDescent="0.3">
      <c r="A35" s="2"/>
      <c r="B35" s="2"/>
      <c r="C35" s="2"/>
      <c r="D35" s="2"/>
      <c r="E35" s="2"/>
      <c r="F35" s="2"/>
      <c r="G35" s="2"/>
    </row>
    <row r="36" spans="1:7" x14ac:dyDescent="0.3">
      <c r="A36" s="2"/>
      <c r="B36" s="2"/>
      <c r="C36" s="2"/>
      <c r="D36" s="2"/>
      <c r="E36" s="2"/>
      <c r="F36" s="2"/>
      <c r="G36" s="2"/>
    </row>
    <row r="37" spans="1:7" x14ac:dyDescent="0.3">
      <c r="A37" s="2"/>
      <c r="B37" s="2"/>
      <c r="C37" s="2"/>
      <c r="D37" s="2"/>
      <c r="E37" s="2"/>
      <c r="F37" s="2"/>
      <c r="G37" s="2"/>
    </row>
    <row r="38" spans="1:7" x14ac:dyDescent="0.3">
      <c r="A38" s="2"/>
      <c r="B38" s="2"/>
      <c r="C38" s="2"/>
      <c r="D38" s="2"/>
      <c r="E38" s="2"/>
      <c r="F38" s="2"/>
      <c r="G38" s="2"/>
    </row>
    <row r="39" spans="1:7" x14ac:dyDescent="0.3">
      <c r="A39" s="2"/>
      <c r="B39" s="2"/>
      <c r="C39" s="2"/>
      <c r="D39" s="2"/>
      <c r="E39" s="2"/>
      <c r="F39" s="2"/>
      <c r="G39" s="2"/>
    </row>
    <row r="40" spans="1:7" x14ac:dyDescent="0.3">
      <c r="A40" s="2"/>
      <c r="B40" s="2"/>
      <c r="C40" s="2"/>
      <c r="D40" s="2"/>
      <c r="E40" s="2"/>
      <c r="F40" s="2"/>
      <c r="G40" s="2"/>
    </row>
    <row r="41" spans="1:7" x14ac:dyDescent="0.3">
      <c r="A41" s="2"/>
      <c r="B41" s="2"/>
      <c r="C41" s="2"/>
      <c r="D41" s="2"/>
      <c r="E41" s="2"/>
      <c r="F41" s="2"/>
      <c r="G41" s="2"/>
    </row>
    <row r="42" spans="1:7" x14ac:dyDescent="0.3">
      <c r="A42" s="2"/>
      <c r="B42" s="2"/>
      <c r="C42" s="2"/>
      <c r="D42" s="2"/>
      <c r="E42" s="2"/>
      <c r="F42" s="2"/>
      <c r="G42" s="2"/>
    </row>
    <row r="43" spans="1:7" x14ac:dyDescent="0.3">
      <c r="A43" s="2"/>
      <c r="B43" s="2"/>
      <c r="C43" s="2"/>
      <c r="D43" s="2"/>
      <c r="E43" s="2"/>
      <c r="F43" s="2"/>
      <c r="G43" s="2"/>
    </row>
    <row r="44" spans="1:7" x14ac:dyDescent="0.3">
      <c r="A44" s="2"/>
      <c r="B44" s="2"/>
      <c r="C44" s="2"/>
      <c r="D44" s="2"/>
      <c r="E44" s="2"/>
      <c r="F44" s="2"/>
      <c r="G44" s="2"/>
    </row>
    <row r="45" spans="1:7" x14ac:dyDescent="0.3">
      <c r="A45" s="2"/>
      <c r="B45" s="2"/>
      <c r="C45" s="2"/>
      <c r="D45" s="2"/>
      <c r="E45" s="2"/>
      <c r="F45" s="2"/>
      <c r="G45" s="2"/>
    </row>
    <row r="46" spans="1:7" x14ac:dyDescent="0.3">
      <c r="A46" s="2"/>
      <c r="B46" s="2"/>
      <c r="C46" s="2"/>
      <c r="D46" s="2"/>
      <c r="E46" s="2"/>
      <c r="F46" s="2"/>
      <c r="G46" s="2"/>
    </row>
    <row r="47" spans="1:7" x14ac:dyDescent="0.3">
      <c r="A47" s="2"/>
      <c r="B47" s="2"/>
      <c r="C47" s="2"/>
      <c r="D47" s="2"/>
      <c r="E47" s="2"/>
      <c r="F47" s="2"/>
      <c r="G47" s="2"/>
    </row>
    <row r="48" spans="1:7" x14ac:dyDescent="0.3">
      <c r="A48" s="2"/>
      <c r="B48" s="2"/>
      <c r="C48" s="2"/>
      <c r="D48" s="2"/>
      <c r="E48" s="2"/>
      <c r="F48" s="2"/>
      <c r="G48" s="2"/>
    </row>
    <row r="49" spans="1:7" x14ac:dyDescent="0.3">
      <c r="A49" s="2"/>
      <c r="B49" s="2"/>
      <c r="C49" s="2"/>
      <c r="D49" s="2"/>
      <c r="E49" s="2"/>
      <c r="F49" s="2"/>
      <c r="G49" s="2"/>
    </row>
    <row r="50" spans="1:7" x14ac:dyDescent="0.3">
      <c r="A50" s="2"/>
      <c r="B50" s="2"/>
      <c r="C50" s="2"/>
      <c r="D50" s="2"/>
      <c r="E50" s="2"/>
      <c r="F50" s="2"/>
      <c r="G50" s="2"/>
    </row>
    <row r="51" spans="1:7" x14ac:dyDescent="0.3">
      <c r="A51" s="2"/>
      <c r="B51" s="2"/>
      <c r="C51" s="2"/>
      <c r="D51" s="2"/>
      <c r="E51" s="2"/>
      <c r="F51" s="2"/>
      <c r="G51" s="2"/>
    </row>
    <row r="52" spans="1:7" x14ac:dyDescent="0.3">
      <c r="A52" s="2"/>
      <c r="B52" s="2"/>
      <c r="C52" s="2"/>
      <c r="D52" s="2"/>
      <c r="E52" s="2"/>
      <c r="F52" s="2"/>
      <c r="G52" s="2"/>
    </row>
    <row r="53" spans="1:7" x14ac:dyDescent="0.3">
      <c r="A53" s="2"/>
      <c r="B53" s="2"/>
      <c r="C53" s="2"/>
      <c r="D53" s="2"/>
      <c r="E53" s="2"/>
      <c r="F53" s="2"/>
      <c r="G53" s="2"/>
    </row>
    <row r="54" spans="1:7" x14ac:dyDescent="0.3">
      <c r="A54" s="2"/>
      <c r="B54" s="2"/>
      <c r="C54" s="2"/>
      <c r="D54" s="2"/>
      <c r="E54" s="2"/>
      <c r="F54" s="2"/>
      <c r="G54" s="2"/>
    </row>
    <row r="55" spans="1:7" x14ac:dyDescent="0.3">
      <c r="A55" s="2"/>
      <c r="B55" s="2"/>
      <c r="C55" s="2"/>
      <c r="D55" s="2"/>
      <c r="E55" s="2"/>
      <c r="F55" s="2"/>
      <c r="G55" s="2"/>
    </row>
    <row r="56" spans="1:7" x14ac:dyDescent="0.3">
      <c r="A56" s="2"/>
      <c r="B56" s="2"/>
      <c r="C56" s="2"/>
      <c r="D56" s="2"/>
      <c r="E56" s="2"/>
      <c r="F56" s="2"/>
      <c r="G56" s="2"/>
    </row>
    <row r="57" spans="1:7" x14ac:dyDescent="0.3">
      <c r="A57" s="2"/>
      <c r="B57" s="2"/>
      <c r="C57" s="2"/>
      <c r="D57" s="2"/>
      <c r="E57" s="2"/>
      <c r="F57" s="2"/>
      <c r="G57" s="2"/>
    </row>
    <row r="58" spans="1:7" x14ac:dyDescent="0.3">
      <c r="A58" s="2"/>
      <c r="B58" s="2"/>
      <c r="C58" s="2"/>
      <c r="D58" s="2"/>
      <c r="E58" s="2"/>
      <c r="F58" s="2"/>
      <c r="G58" s="2"/>
    </row>
    <row r="59" spans="1:7" x14ac:dyDescent="0.3">
      <c r="A59" s="2"/>
      <c r="B59" s="2"/>
      <c r="C59" s="2"/>
      <c r="D59" s="2"/>
      <c r="E59" s="2"/>
      <c r="F59" s="2"/>
      <c r="G59" s="2"/>
    </row>
  </sheetData>
  <sheetProtection formatCells="0" formatRows="0"/>
  <mergeCells count="4">
    <mergeCell ref="B1:C1"/>
    <mergeCell ref="B2:C2"/>
    <mergeCell ref="B3:C3"/>
    <mergeCell ref="B4:C4"/>
  </mergeCell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189</vt:i4>
      </vt:variant>
    </vt:vector>
  </HeadingPairs>
  <TitlesOfParts>
    <vt:vector size="211" baseType="lpstr">
      <vt:lpstr>summary</vt:lpstr>
      <vt:lpstr>student_names</vt:lpstr>
      <vt:lpstr>st_template</vt:lpstr>
      <vt:lpstr>TSmidterm_ACamarena</vt:lpstr>
      <vt:lpstr>TSmidterm_JCastelo</vt:lpstr>
      <vt:lpstr>TSmidterm_DLarrañaga</vt:lpstr>
      <vt:lpstr>TSmidterm_MDiarra</vt:lpstr>
      <vt:lpstr>TSmidterm_FMartin</vt:lpstr>
      <vt:lpstr>TSmidterm_NFeiger</vt:lpstr>
      <vt:lpstr>TSmidterm_SGonzalez</vt:lpstr>
      <vt:lpstr>TSmidterm_FJimenez</vt:lpstr>
      <vt:lpstr>TSmidterm_VLopez</vt:lpstr>
      <vt:lpstr>TSmidterm_EMarmolejos</vt:lpstr>
      <vt:lpstr>TSmidterm_SMartinez</vt:lpstr>
      <vt:lpstr>TSmidterm_EMeier</vt:lpstr>
      <vt:lpstr>TSmidterm_AOcariz</vt:lpstr>
      <vt:lpstr>TSmidterm_TPloquin</vt:lpstr>
      <vt:lpstr>TSmidterm_SRos</vt:lpstr>
      <vt:lpstr>TSmidterm_DSaldarriaga</vt:lpstr>
      <vt:lpstr>TSmidterm_JTasende</vt:lpstr>
      <vt:lpstr>TSmidterm_SVásquez</vt:lpstr>
      <vt:lpstr>TSmidterm_DVillalain</vt:lpstr>
      <vt:lpstr>st_template!answer_col</vt:lpstr>
      <vt:lpstr>TSmidterm_ACamarena!answer_col</vt:lpstr>
      <vt:lpstr>TSmidterm_AOcariz!answer_col</vt:lpstr>
      <vt:lpstr>TSmidterm_DLarrañaga!answer_col</vt:lpstr>
      <vt:lpstr>TSmidterm_DSaldarriaga!answer_col</vt:lpstr>
      <vt:lpstr>TSmidterm_DVillalain!answer_col</vt:lpstr>
      <vt:lpstr>TSmidterm_EMarmolejos!answer_col</vt:lpstr>
      <vt:lpstr>TSmidterm_EMeier!answer_col</vt:lpstr>
      <vt:lpstr>TSmidterm_FJimenez!answer_col</vt:lpstr>
      <vt:lpstr>TSmidterm_FMartin!answer_col</vt:lpstr>
      <vt:lpstr>TSmidterm_JCastelo!answer_col</vt:lpstr>
      <vt:lpstr>TSmidterm_JTasende!answer_col</vt:lpstr>
      <vt:lpstr>TSmidterm_MDiarra!answer_col</vt:lpstr>
      <vt:lpstr>TSmidterm_NFeiger!answer_col</vt:lpstr>
      <vt:lpstr>TSmidterm_SGonzalez!answer_col</vt:lpstr>
      <vt:lpstr>TSmidterm_SMartinez!answer_col</vt:lpstr>
      <vt:lpstr>TSmidterm_SRos!answer_col</vt:lpstr>
      <vt:lpstr>TSmidterm_SVásquez!answer_col</vt:lpstr>
      <vt:lpstr>TSmidterm_TPloquin!answer_col</vt:lpstr>
      <vt:lpstr>TSmidterm_VLopez!answer_col</vt:lpstr>
      <vt:lpstr>student_names!assignment_file</vt:lpstr>
      <vt:lpstr>st_template!assignment_id</vt:lpstr>
      <vt:lpstr>student_names!assignment_id</vt:lpstr>
      <vt:lpstr>TSmidterm_ACamarena!assignment_id</vt:lpstr>
      <vt:lpstr>TSmidterm_AOcariz!assignment_id</vt:lpstr>
      <vt:lpstr>TSmidterm_DLarrañaga!assignment_id</vt:lpstr>
      <vt:lpstr>TSmidterm_DSaldarriaga!assignment_id</vt:lpstr>
      <vt:lpstr>TSmidterm_DVillalain!assignment_id</vt:lpstr>
      <vt:lpstr>TSmidterm_EMarmolejos!assignment_id</vt:lpstr>
      <vt:lpstr>TSmidterm_EMeier!assignment_id</vt:lpstr>
      <vt:lpstr>TSmidterm_FJimenez!assignment_id</vt:lpstr>
      <vt:lpstr>TSmidterm_FMartin!assignment_id</vt:lpstr>
      <vt:lpstr>TSmidterm_JCastelo!assignment_id</vt:lpstr>
      <vt:lpstr>TSmidterm_JTasende!assignment_id</vt:lpstr>
      <vt:lpstr>TSmidterm_MDiarra!assignment_id</vt:lpstr>
      <vt:lpstr>TSmidterm_NFeiger!assignment_id</vt:lpstr>
      <vt:lpstr>TSmidterm_SGonzalez!assignment_id</vt:lpstr>
      <vt:lpstr>TSmidterm_SMartinez!assignment_id</vt:lpstr>
      <vt:lpstr>TSmidterm_SRos!assignment_id</vt:lpstr>
      <vt:lpstr>TSmidterm_SVásquez!assignment_id</vt:lpstr>
      <vt:lpstr>TSmidterm_TPloquin!assignment_id</vt:lpstr>
      <vt:lpstr>TSmidterm_VLopez!assignment_id</vt:lpstr>
      <vt:lpstr>st_template!feedback_col</vt:lpstr>
      <vt:lpstr>TSmidterm_ACamarena!feedback_col</vt:lpstr>
      <vt:lpstr>TSmidterm_AOcariz!feedback_col</vt:lpstr>
      <vt:lpstr>TSmidterm_DLarrañaga!feedback_col</vt:lpstr>
      <vt:lpstr>TSmidterm_DSaldarriaga!feedback_col</vt:lpstr>
      <vt:lpstr>TSmidterm_DVillalain!feedback_col</vt:lpstr>
      <vt:lpstr>TSmidterm_EMarmolejos!feedback_col</vt:lpstr>
      <vt:lpstr>TSmidterm_EMeier!feedback_col</vt:lpstr>
      <vt:lpstr>TSmidterm_FJimenez!feedback_col</vt:lpstr>
      <vt:lpstr>TSmidterm_FMartin!feedback_col</vt:lpstr>
      <vt:lpstr>TSmidterm_JCastelo!feedback_col</vt:lpstr>
      <vt:lpstr>TSmidterm_JTasende!feedback_col</vt:lpstr>
      <vt:lpstr>TSmidterm_MDiarra!feedback_col</vt:lpstr>
      <vt:lpstr>TSmidterm_NFeiger!feedback_col</vt:lpstr>
      <vt:lpstr>TSmidterm_SGonzalez!feedback_col</vt:lpstr>
      <vt:lpstr>TSmidterm_SMartinez!feedback_col</vt:lpstr>
      <vt:lpstr>TSmidterm_SRos!feedback_col</vt:lpstr>
      <vt:lpstr>TSmidterm_SVásquez!feedback_col</vt:lpstr>
      <vt:lpstr>TSmidterm_TPloquin!feedback_col</vt:lpstr>
      <vt:lpstr>TSmidterm_VLopez!feedback_col</vt:lpstr>
      <vt:lpstr>student_names!filenames</vt:lpstr>
      <vt:lpstr>st_template!filesname</vt:lpstr>
      <vt:lpstr>TSmidterm_ACamarena!filesname</vt:lpstr>
      <vt:lpstr>TSmidterm_AOcariz!filesname</vt:lpstr>
      <vt:lpstr>TSmidterm_DLarrañaga!filesname</vt:lpstr>
      <vt:lpstr>TSmidterm_DSaldarriaga!filesname</vt:lpstr>
      <vt:lpstr>TSmidterm_DVillalain!filesname</vt:lpstr>
      <vt:lpstr>TSmidterm_EMarmolejos!filesname</vt:lpstr>
      <vt:lpstr>TSmidterm_EMeier!filesname</vt:lpstr>
      <vt:lpstr>TSmidterm_FJimenez!filesname</vt:lpstr>
      <vt:lpstr>TSmidterm_FMartin!filesname</vt:lpstr>
      <vt:lpstr>TSmidterm_JCastelo!filesname</vt:lpstr>
      <vt:lpstr>TSmidterm_JTasende!filesname</vt:lpstr>
      <vt:lpstr>TSmidterm_MDiarra!filesname</vt:lpstr>
      <vt:lpstr>TSmidterm_NFeiger!filesname</vt:lpstr>
      <vt:lpstr>TSmidterm_SGonzalez!filesname</vt:lpstr>
      <vt:lpstr>TSmidterm_SMartinez!filesname</vt:lpstr>
      <vt:lpstr>TSmidterm_SRos!filesname</vt:lpstr>
      <vt:lpstr>TSmidterm_SVásquez!filesname</vt:lpstr>
      <vt:lpstr>TSmidterm_TPloquin!filesname</vt:lpstr>
      <vt:lpstr>TSmidterm_VLopez!filesname</vt:lpstr>
      <vt:lpstr>st_template!grade_col</vt:lpstr>
      <vt:lpstr>TSmidterm_ACamarena!grade_col</vt:lpstr>
      <vt:lpstr>TSmidterm_AOcariz!grade_col</vt:lpstr>
      <vt:lpstr>TSmidterm_DLarrañaga!grade_col</vt:lpstr>
      <vt:lpstr>TSmidterm_DSaldarriaga!grade_col</vt:lpstr>
      <vt:lpstr>TSmidterm_DVillalain!grade_col</vt:lpstr>
      <vt:lpstr>TSmidterm_EMarmolejos!grade_col</vt:lpstr>
      <vt:lpstr>TSmidterm_EMeier!grade_col</vt:lpstr>
      <vt:lpstr>TSmidterm_FJimenez!grade_col</vt:lpstr>
      <vt:lpstr>TSmidterm_FMartin!grade_col</vt:lpstr>
      <vt:lpstr>TSmidterm_JCastelo!grade_col</vt:lpstr>
      <vt:lpstr>TSmidterm_JTasende!grade_col</vt:lpstr>
      <vt:lpstr>TSmidterm_MDiarra!grade_col</vt:lpstr>
      <vt:lpstr>TSmidterm_NFeiger!grade_col</vt:lpstr>
      <vt:lpstr>TSmidterm_SGonzalez!grade_col</vt:lpstr>
      <vt:lpstr>TSmidterm_SMartinez!grade_col</vt:lpstr>
      <vt:lpstr>TSmidterm_SRos!grade_col</vt:lpstr>
      <vt:lpstr>TSmidterm_SVásquez!grade_col</vt:lpstr>
      <vt:lpstr>TSmidterm_TPloquin!grade_col</vt:lpstr>
      <vt:lpstr>TSmidterm_VLopez!grade_col</vt:lpstr>
      <vt:lpstr>grades_start</vt:lpstr>
      <vt:lpstr>st_template!max_grade_col</vt:lpstr>
      <vt:lpstr>TSmidterm_ACamarena!max_grade_col</vt:lpstr>
      <vt:lpstr>TSmidterm_AOcariz!max_grade_col</vt:lpstr>
      <vt:lpstr>TSmidterm_DLarrañaga!max_grade_col</vt:lpstr>
      <vt:lpstr>TSmidterm_DSaldarriaga!max_grade_col</vt:lpstr>
      <vt:lpstr>TSmidterm_DVillalain!max_grade_col</vt:lpstr>
      <vt:lpstr>TSmidterm_EMarmolejos!max_grade_col</vt:lpstr>
      <vt:lpstr>TSmidterm_EMeier!max_grade_col</vt:lpstr>
      <vt:lpstr>TSmidterm_FJimenez!max_grade_col</vt:lpstr>
      <vt:lpstr>TSmidterm_FMartin!max_grade_col</vt:lpstr>
      <vt:lpstr>TSmidterm_JCastelo!max_grade_col</vt:lpstr>
      <vt:lpstr>TSmidterm_JTasende!max_grade_col</vt:lpstr>
      <vt:lpstr>TSmidterm_MDiarra!max_grade_col</vt:lpstr>
      <vt:lpstr>TSmidterm_NFeiger!max_grade_col</vt:lpstr>
      <vt:lpstr>TSmidterm_SGonzalez!max_grade_col</vt:lpstr>
      <vt:lpstr>TSmidterm_SMartinez!max_grade_col</vt:lpstr>
      <vt:lpstr>TSmidterm_SRos!max_grade_col</vt:lpstr>
      <vt:lpstr>TSmidterm_SVásquez!max_grade_col</vt:lpstr>
      <vt:lpstr>TSmidterm_TPloquin!max_grade_col</vt:lpstr>
      <vt:lpstr>TSmidterm_VLopez!max_grade_col</vt:lpstr>
      <vt:lpstr>max_grade_col</vt:lpstr>
      <vt:lpstr>student_names!names</vt:lpstr>
      <vt:lpstr>names_start</vt:lpstr>
      <vt:lpstr>st_template!section_col</vt:lpstr>
      <vt:lpstr>TSmidterm_ACamarena!section_col</vt:lpstr>
      <vt:lpstr>TSmidterm_AOcariz!section_col</vt:lpstr>
      <vt:lpstr>TSmidterm_DLarrañaga!section_col</vt:lpstr>
      <vt:lpstr>TSmidterm_DSaldarriaga!section_col</vt:lpstr>
      <vt:lpstr>TSmidterm_DVillalain!section_col</vt:lpstr>
      <vt:lpstr>TSmidterm_EMarmolejos!section_col</vt:lpstr>
      <vt:lpstr>TSmidterm_EMeier!section_col</vt:lpstr>
      <vt:lpstr>TSmidterm_FJimenez!section_col</vt:lpstr>
      <vt:lpstr>TSmidterm_FMartin!section_col</vt:lpstr>
      <vt:lpstr>TSmidterm_JCastelo!section_col</vt:lpstr>
      <vt:lpstr>TSmidterm_JTasende!section_col</vt:lpstr>
      <vt:lpstr>TSmidterm_MDiarra!section_col</vt:lpstr>
      <vt:lpstr>TSmidterm_NFeiger!section_col</vt:lpstr>
      <vt:lpstr>TSmidterm_SGonzalez!section_col</vt:lpstr>
      <vt:lpstr>TSmidterm_SMartinez!section_col</vt:lpstr>
      <vt:lpstr>TSmidterm_SRos!section_col</vt:lpstr>
      <vt:lpstr>TSmidterm_SVásquez!section_col</vt:lpstr>
      <vt:lpstr>TSmidterm_TPloquin!section_col</vt:lpstr>
      <vt:lpstr>TSmidterm_VLopez!section_col</vt:lpstr>
      <vt:lpstr>section_col</vt:lpstr>
      <vt:lpstr>st_template!student_name</vt:lpstr>
      <vt:lpstr>TSmidterm_ACamarena!student_name</vt:lpstr>
      <vt:lpstr>TSmidterm_AOcariz!student_name</vt:lpstr>
      <vt:lpstr>TSmidterm_DLarrañaga!student_name</vt:lpstr>
      <vt:lpstr>TSmidterm_DSaldarriaga!student_name</vt:lpstr>
      <vt:lpstr>TSmidterm_DVillalain!student_name</vt:lpstr>
      <vt:lpstr>TSmidterm_EMarmolejos!student_name</vt:lpstr>
      <vt:lpstr>TSmidterm_EMeier!student_name</vt:lpstr>
      <vt:lpstr>TSmidterm_FJimenez!student_name</vt:lpstr>
      <vt:lpstr>TSmidterm_FMartin!student_name</vt:lpstr>
      <vt:lpstr>TSmidterm_JCastelo!student_name</vt:lpstr>
      <vt:lpstr>TSmidterm_JTasende!student_name</vt:lpstr>
      <vt:lpstr>TSmidterm_MDiarra!student_name</vt:lpstr>
      <vt:lpstr>TSmidterm_NFeiger!student_name</vt:lpstr>
      <vt:lpstr>TSmidterm_SGonzalez!student_name</vt:lpstr>
      <vt:lpstr>TSmidterm_SMartinez!student_name</vt:lpstr>
      <vt:lpstr>TSmidterm_SRos!student_name</vt:lpstr>
      <vt:lpstr>TSmidterm_SVásquez!student_name</vt:lpstr>
      <vt:lpstr>TSmidterm_TPloquin!student_name</vt:lpstr>
      <vt:lpstr>TSmidterm_VLopez!student_name</vt:lpstr>
      <vt:lpstr>st_template!student_surname</vt:lpstr>
      <vt:lpstr>TSmidterm_ACamarena!student_surname</vt:lpstr>
      <vt:lpstr>TSmidterm_AOcariz!student_surname</vt:lpstr>
      <vt:lpstr>TSmidterm_DLarrañaga!student_surname</vt:lpstr>
      <vt:lpstr>TSmidterm_DSaldarriaga!student_surname</vt:lpstr>
      <vt:lpstr>TSmidterm_DVillalain!student_surname</vt:lpstr>
      <vt:lpstr>TSmidterm_EMarmolejos!student_surname</vt:lpstr>
      <vt:lpstr>TSmidterm_EMeier!student_surname</vt:lpstr>
      <vt:lpstr>TSmidterm_FJimenez!student_surname</vt:lpstr>
      <vt:lpstr>TSmidterm_FMartin!student_surname</vt:lpstr>
      <vt:lpstr>TSmidterm_JCastelo!student_surname</vt:lpstr>
      <vt:lpstr>TSmidterm_JTasende!student_surname</vt:lpstr>
      <vt:lpstr>TSmidterm_MDiarra!student_surname</vt:lpstr>
      <vt:lpstr>TSmidterm_NFeiger!student_surname</vt:lpstr>
      <vt:lpstr>TSmidterm_SGonzalez!student_surname</vt:lpstr>
      <vt:lpstr>TSmidterm_SMartinez!student_surname</vt:lpstr>
      <vt:lpstr>TSmidterm_SRos!student_surname</vt:lpstr>
      <vt:lpstr>TSmidterm_SVásquez!student_surname</vt:lpstr>
      <vt:lpstr>TSmidterm_TPloquin!student_surname</vt:lpstr>
      <vt:lpstr>TSmidterm_VLopez!student_surname</vt:lpstr>
      <vt:lpstr>student_names!surnames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</dc:creator>
  <cp:lastModifiedBy>Juan Garbayo de Pablo</cp:lastModifiedBy>
  <dcterms:created xsi:type="dcterms:W3CDTF">2015-06-05T18:17:20Z</dcterms:created>
  <dcterms:modified xsi:type="dcterms:W3CDTF">2022-11-01T19:45:22Z</dcterms:modified>
</cp:coreProperties>
</file>