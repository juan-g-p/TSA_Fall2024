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97ab797fdac369a/IE_Classes/2022_Fall/ZZ_Notebooks/NB_BDBA_Fall2022/YY_asgmt1/"/>
    </mc:Choice>
  </mc:AlternateContent>
  <xr:revisionPtr revIDLastSave="146" documentId="13_ncr:1_{E8AD2870-A655-4509-AD07-8C5D6D38B9A7}" xr6:coauthVersionLast="47" xr6:coauthVersionMax="47" xr10:uidLastSave="{F56B6551-0F0B-4556-9104-4625CD7E5D12}"/>
  <bookViews>
    <workbookView xWindow="28680" yWindow="-120" windowWidth="29040" windowHeight="15720" tabRatio="601" firstSheet="7" activeTab="10" xr2:uid="{00000000-000D-0000-FFFF-FFFF00000000}"/>
  </bookViews>
  <sheets>
    <sheet name="summary" sheetId="1" r:id="rId1"/>
    <sheet name="student_names" sheetId="6" r:id="rId2"/>
    <sheet name="st_template" sheetId="2" r:id="rId3"/>
    <sheet name="asgm_1_ACamarena_corrected" sheetId="13" r:id="rId4"/>
    <sheet name="asgm_1_JCastelo_corrected" sheetId="14" r:id="rId5"/>
    <sheet name="asgm_1_DLarrañaga_corrected" sheetId="15" r:id="rId6"/>
    <sheet name="asgm_1_MDiarra_corrected" sheetId="16" r:id="rId7"/>
    <sheet name="asgm_1_FMartin_corrected" sheetId="17" r:id="rId8"/>
    <sheet name="asgm_1_NFeiger" sheetId="18" r:id="rId9"/>
    <sheet name="asgm_1_SGonzalez" sheetId="19" r:id="rId10"/>
    <sheet name="asgm_1_FJimenez" sheetId="20" r:id="rId11"/>
    <sheet name="asgm_1_VLopez" sheetId="21" r:id="rId12"/>
    <sheet name="asgm_1_EMarmolejos" sheetId="22" r:id="rId13"/>
    <sheet name="asgm_1_SMartinez" sheetId="23" r:id="rId14"/>
    <sheet name="asgm_1_EMeier" sheetId="24" r:id="rId15"/>
    <sheet name="asgm_1_AOcariz" sheetId="25" r:id="rId16"/>
    <sheet name="asgm_1_TPloquin" sheetId="26" r:id="rId17"/>
    <sheet name="asgm_1_SRos" sheetId="27" r:id="rId18"/>
    <sheet name="asgm_1_DSaldarriaga" sheetId="28" r:id="rId19"/>
    <sheet name="asgm_1_JTasende" sheetId="29" r:id="rId20"/>
    <sheet name="asgm_1_SVásquez" sheetId="30" r:id="rId21"/>
    <sheet name="asgm_1_DVillalain" sheetId="31" r:id="rId22"/>
  </sheets>
  <definedNames>
    <definedName name="answer_col" localSheetId="3">asgm_1_ACamarena_corrected!$C$6</definedName>
    <definedName name="answer_col" localSheetId="15">asgm_1_AOcariz!$C$6</definedName>
    <definedName name="answer_col" localSheetId="5">asgm_1_DLarrañaga_corrected!$C$6</definedName>
    <definedName name="answer_col" localSheetId="18">asgm_1_DSaldarriaga!$C$6</definedName>
    <definedName name="answer_col" localSheetId="21">asgm_1_DVillalain!$C$6</definedName>
    <definedName name="answer_col" localSheetId="12">asgm_1_EMarmolejos!$C$6</definedName>
    <definedName name="answer_col" localSheetId="14">asgm_1_EMeier!$C$6</definedName>
    <definedName name="answer_col" localSheetId="10">asgm_1_FJimenez!$C$6</definedName>
    <definedName name="answer_col" localSheetId="7">asgm_1_FMartin_corrected!$C$6</definedName>
    <definedName name="answer_col" localSheetId="4">asgm_1_JCastelo_corrected!$C$6</definedName>
    <definedName name="answer_col" localSheetId="19">asgm_1_JTasende!$C$6</definedName>
    <definedName name="answer_col" localSheetId="6">asgm_1_MDiarra_corrected!$C$6</definedName>
    <definedName name="answer_col" localSheetId="8">asgm_1_NFeiger!$C$6</definedName>
    <definedName name="answer_col" localSheetId="9">asgm_1_SGonzalez!$C$6</definedName>
    <definedName name="answer_col" localSheetId="13">asgm_1_SMartinez!$C$6</definedName>
    <definedName name="answer_col" localSheetId="17">asgm_1_SRos!$C$6</definedName>
    <definedName name="answer_col" localSheetId="20">asgm_1_SVásquez!$C$6</definedName>
    <definedName name="answer_col" localSheetId="16">asgm_1_TPloquin!$C$6</definedName>
    <definedName name="answer_col" localSheetId="11">asgm_1_VLopez!$C$6</definedName>
    <definedName name="answer_col" localSheetId="2">st_template!$C$6</definedName>
    <definedName name="assignment_file" localSheetId="1">student_names!$B$3</definedName>
    <definedName name="assignment_id" localSheetId="3">asgm_1_ACamarena_corrected!$B$1</definedName>
    <definedName name="assignment_id" localSheetId="15">asgm_1_AOcariz!$B$1</definedName>
    <definedName name="assignment_id" localSheetId="5">asgm_1_DLarrañaga_corrected!$B$1</definedName>
    <definedName name="assignment_id" localSheetId="18">asgm_1_DSaldarriaga!$B$1</definedName>
    <definedName name="assignment_id" localSheetId="21">asgm_1_DVillalain!$B$1</definedName>
    <definedName name="assignment_id" localSheetId="12">asgm_1_EMarmolejos!$B$1</definedName>
    <definedName name="assignment_id" localSheetId="14">asgm_1_EMeier!$B$1</definedName>
    <definedName name="assignment_id" localSheetId="10">asgm_1_FJimenez!$B$1</definedName>
    <definedName name="assignment_id" localSheetId="7">asgm_1_FMartin_corrected!$B$1</definedName>
    <definedName name="assignment_id" localSheetId="4">asgm_1_JCastelo_corrected!$B$1</definedName>
    <definedName name="assignment_id" localSheetId="19">asgm_1_JTasende!$B$1</definedName>
    <definedName name="assignment_id" localSheetId="6">asgm_1_MDiarra_corrected!$B$1</definedName>
    <definedName name="assignment_id" localSheetId="8">asgm_1_NFeiger!$B$1</definedName>
    <definedName name="assignment_id" localSheetId="9">asgm_1_SGonzalez!$B$1</definedName>
    <definedName name="assignment_id" localSheetId="13">asgm_1_SMartinez!$B$1</definedName>
    <definedName name="assignment_id" localSheetId="17">asgm_1_SRos!$B$1</definedName>
    <definedName name="assignment_id" localSheetId="20">asgm_1_SVásquez!$B$1</definedName>
    <definedName name="assignment_id" localSheetId="16">asgm_1_TPloquin!$B$1</definedName>
    <definedName name="assignment_id" localSheetId="11">asgm_1_VLopez!$B$1</definedName>
    <definedName name="assignment_id" localSheetId="2">st_template!$B$1</definedName>
    <definedName name="assignment_id" localSheetId="1">student_names!$B$2</definedName>
    <definedName name="feedback_col" localSheetId="3">asgm_1_ACamarena_corrected!$G$6</definedName>
    <definedName name="feedback_col" localSheetId="15">asgm_1_AOcariz!$G$6</definedName>
    <definedName name="feedback_col" localSheetId="5">asgm_1_DLarrañaga_corrected!$G$6</definedName>
    <definedName name="feedback_col" localSheetId="18">asgm_1_DSaldarriaga!$G$6</definedName>
    <definedName name="feedback_col" localSheetId="21">asgm_1_DVillalain!$G$6</definedName>
    <definedName name="feedback_col" localSheetId="12">asgm_1_EMarmolejos!$G$6</definedName>
    <definedName name="feedback_col" localSheetId="14">asgm_1_EMeier!$G$6</definedName>
    <definedName name="feedback_col" localSheetId="10">asgm_1_FJimenez!$G$6</definedName>
    <definedName name="feedback_col" localSheetId="7">asgm_1_FMartin_corrected!$G$6</definedName>
    <definedName name="feedback_col" localSheetId="4">asgm_1_JCastelo_corrected!$G$6</definedName>
    <definedName name="feedback_col" localSheetId="19">asgm_1_JTasende!$G$6</definedName>
    <definedName name="feedback_col" localSheetId="6">asgm_1_MDiarra_corrected!$G$6</definedName>
    <definedName name="feedback_col" localSheetId="8">asgm_1_NFeiger!$G$6</definedName>
    <definedName name="feedback_col" localSheetId="9">asgm_1_SGonzalez!$G$6</definedName>
    <definedName name="feedback_col" localSheetId="13">asgm_1_SMartinez!$G$6</definedName>
    <definedName name="feedback_col" localSheetId="17">asgm_1_SRos!$G$6</definedName>
    <definedName name="feedback_col" localSheetId="20">asgm_1_SVásquez!$G$6</definedName>
    <definedName name="feedback_col" localSheetId="16">asgm_1_TPloquin!$G$6</definedName>
    <definedName name="feedback_col" localSheetId="11">asgm_1_VLopez!$G$6</definedName>
    <definedName name="feedback_col" localSheetId="2">st_template!$G$6</definedName>
    <definedName name="filenames" localSheetId="1">student_names!$C$6:$C$61</definedName>
    <definedName name="filesname" localSheetId="3">asgm_1_ACamarena_corrected!$B$4</definedName>
    <definedName name="filesname" localSheetId="15">asgm_1_AOcariz!$B$4</definedName>
    <definedName name="filesname" localSheetId="5">asgm_1_DLarrañaga_corrected!$B$4</definedName>
    <definedName name="filesname" localSheetId="18">asgm_1_DSaldarriaga!$B$4</definedName>
    <definedName name="filesname" localSheetId="21">asgm_1_DVillalain!$B$4</definedName>
    <definedName name="filesname" localSheetId="12">asgm_1_EMarmolejos!$B$4</definedName>
    <definedName name="filesname" localSheetId="14">asgm_1_EMeier!$B$4</definedName>
    <definedName name="filesname" localSheetId="10">asgm_1_FJimenez!$B$4</definedName>
    <definedName name="filesname" localSheetId="7">asgm_1_FMartin_corrected!$B$4</definedName>
    <definedName name="filesname" localSheetId="4">asgm_1_JCastelo_corrected!$B$4</definedName>
    <definedName name="filesname" localSheetId="19">asgm_1_JTasende!$B$4</definedName>
    <definedName name="filesname" localSheetId="6">asgm_1_MDiarra_corrected!$B$4</definedName>
    <definedName name="filesname" localSheetId="8">asgm_1_NFeiger!$B$4</definedName>
    <definedName name="filesname" localSheetId="9">asgm_1_SGonzalez!$B$4</definedName>
    <definedName name="filesname" localSheetId="13">asgm_1_SMartinez!$B$4</definedName>
    <definedName name="filesname" localSheetId="17">asgm_1_SRos!$B$4</definedName>
    <definedName name="filesname" localSheetId="20">asgm_1_SVásquez!$B$4</definedName>
    <definedName name="filesname" localSheetId="16">asgm_1_TPloquin!$B$4</definedName>
    <definedName name="filesname" localSheetId="11">asgm_1_VLopez!$B$4</definedName>
    <definedName name="filesname" localSheetId="2">st_template!$B$4</definedName>
    <definedName name="grade_col" localSheetId="3">asgm_1_ACamarena_corrected!$F$6</definedName>
    <definedName name="grade_col" localSheetId="15">asgm_1_AOcariz!$F$6</definedName>
    <definedName name="grade_col" localSheetId="5">asgm_1_DLarrañaga_corrected!$F$6</definedName>
    <definedName name="grade_col" localSheetId="18">asgm_1_DSaldarriaga!$F$6</definedName>
    <definedName name="grade_col" localSheetId="21">asgm_1_DVillalain!$F$6</definedName>
    <definedName name="grade_col" localSheetId="12">asgm_1_EMarmolejos!$F$6</definedName>
    <definedName name="grade_col" localSheetId="14">asgm_1_EMeier!$F$6</definedName>
    <definedName name="grade_col" localSheetId="10">asgm_1_FJimenez!$F$6</definedName>
    <definedName name="grade_col" localSheetId="7">asgm_1_FMartin_corrected!$F$6</definedName>
    <definedName name="grade_col" localSheetId="4">asgm_1_JCastelo_corrected!$F$6</definedName>
    <definedName name="grade_col" localSheetId="19">asgm_1_JTasende!$F$6</definedName>
    <definedName name="grade_col" localSheetId="6">asgm_1_MDiarra_corrected!$F$6</definedName>
    <definedName name="grade_col" localSheetId="8">asgm_1_NFeiger!$F$6</definedName>
    <definedName name="grade_col" localSheetId="9">asgm_1_SGonzalez!$F$6</definedName>
    <definedName name="grade_col" localSheetId="13">asgm_1_SMartinez!$F$6</definedName>
    <definedName name="grade_col" localSheetId="17">asgm_1_SRos!$F$6</definedName>
    <definedName name="grade_col" localSheetId="20">asgm_1_SVásquez!$F$6</definedName>
    <definedName name="grade_col" localSheetId="16">asgm_1_TPloquin!$F$6</definedName>
    <definedName name="grade_col" localSheetId="11">asgm_1_VLopez!$F$6</definedName>
    <definedName name="grade_col" localSheetId="2">st_template!$F$6</definedName>
    <definedName name="grades_start">summary!$C$2</definedName>
    <definedName name="max_grade_col" localSheetId="3">asgm_1_ACamarena_corrected!$B$6</definedName>
    <definedName name="max_grade_col" localSheetId="15">asgm_1_AOcariz!$B$6</definedName>
    <definedName name="max_grade_col" localSheetId="5">asgm_1_DLarrañaga_corrected!$B$6</definedName>
    <definedName name="max_grade_col" localSheetId="18">asgm_1_DSaldarriaga!$B$6</definedName>
    <definedName name="max_grade_col" localSheetId="21">asgm_1_DVillalain!$B$6</definedName>
    <definedName name="max_grade_col" localSheetId="12">asgm_1_EMarmolejos!$B$6</definedName>
    <definedName name="max_grade_col" localSheetId="14">asgm_1_EMeier!$B$6</definedName>
    <definedName name="max_grade_col" localSheetId="10">asgm_1_FJimenez!$B$6</definedName>
    <definedName name="max_grade_col" localSheetId="7">asgm_1_FMartin_corrected!$B$6</definedName>
    <definedName name="max_grade_col" localSheetId="4">asgm_1_JCastelo_corrected!$B$6</definedName>
    <definedName name="max_grade_col" localSheetId="19">asgm_1_JTasende!$B$6</definedName>
    <definedName name="max_grade_col" localSheetId="6">asgm_1_MDiarra_corrected!$B$6</definedName>
    <definedName name="max_grade_col" localSheetId="8">asgm_1_NFeiger!$B$6</definedName>
    <definedName name="max_grade_col" localSheetId="9">asgm_1_SGonzalez!$B$6</definedName>
    <definedName name="max_grade_col" localSheetId="13">asgm_1_SMartinez!$B$6</definedName>
    <definedName name="max_grade_col" localSheetId="17">asgm_1_SRos!$B$6</definedName>
    <definedName name="max_grade_col" localSheetId="20">asgm_1_SVásquez!$B$6</definedName>
    <definedName name="max_grade_col" localSheetId="16">asgm_1_TPloquin!$B$6</definedName>
    <definedName name="max_grade_col" localSheetId="11">asgm_1_VLopez!$B$6</definedName>
    <definedName name="max_grade_col" localSheetId="2">st_template!$B$6</definedName>
    <definedName name="max_grade_col">summary!$B$1</definedName>
    <definedName name="names" localSheetId="1">student_names!$A$6:$A$61</definedName>
    <definedName name="names_start">summary!$C$1</definedName>
    <definedName name="section_col" localSheetId="3">asgm_1_ACamarena_corrected!$A$6</definedName>
    <definedName name="section_col" localSheetId="15">asgm_1_AOcariz!$A$6</definedName>
    <definedName name="section_col" localSheetId="5">asgm_1_DLarrañaga_corrected!$A$6</definedName>
    <definedName name="section_col" localSheetId="18">asgm_1_DSaldarriaga!$A$6</definedName>
    <definedName name="section_col" localSheetId="21">asgm_1_DVillalain!$A$6</definedName>
    <definedName name="section_col" localSheetId="12">asgm_1_EMarmolejos!$A$6</definedName>
    <definedName name="section_col" localSheetId="14">asgm_1_EMeier!$A$6</definedName>
    <definedName name="section_col" localSheetId="10">asgm_1_FJimenez!$A$6</definedName>
    <definedName name="section_col" localSheetId="7">asgm_1_FMartin_corrected!$A$6</definedName>
    <definedName name="section_col" localSheetId="4">asgm_1_JCastelo_corrected!$A$6</definedName>
    <definedName name="section_col" localSheetId="19">asgm_1_JTasende!$A$6</definedName>
    <definedName name="section_col" localSheetId="6">asgm_1_MDiarra_corrected!$A$6</definedName>
    <definedName name="section_col" localSheetId="8">asgm_1_NFeiger!$A$6</definedName>
    <definedName name="section_col" localSheetId="9">asgm_1_SGonzalez!$A$6</definedName>
    <definedName name="section_col" localSheetId="13">asgm_1_SMartinez!$A$6</definedName>
    <definedName name="section_col" localSheetId="17">asgm_1_SRos!$A$6</definedName>
    <definedName name="section_col" localSheetId="20">asgm_1_SVásquez!$A$6</definedName>
    <definedName name="section_col" localSheetId="16">asgm_1_TPloquin!$A$6</definedName>
    <definedName name="section_col" localSheetId="11">asgm_1_VLopez!$A$6</definedName>
    <definedName name="section_col" localSheetId="2">st_template!$A$6</definedName>
    <definedName name="section_col">summary!$A$1</definedName>
    <definedName name="student_name" localSheetId="3">asgm_1_ACamarena_corrected!$B$2</definedName>
    <definedName name="student_name" localSheetId="15">asgm_1_AOcariz!$B$2</definedName>
    <definedName name="student_name" localSheetId="5">asgm_1_DLarrañaga_corrected!$B$2</definedName>
    <definedName name="student_name" localSheetId="18">asgm_1_DSaldarriaga!$B$2</definedName>
    <definedName name="student_name" localSheetId="21">asgm_1_DVillalain!$B$2</definedName>
    <definedName name="student_name" localSheetId="12">asgm_1_EMarmolejos!$B$2</definedName>
    <definedName name="student_name" localSheetId="14">asgm_1_EMeier!$B$2</definedName>
    <definedName name="student_name" localSheetId="10">asgm_1_FJimenez!$B$2</definedName>
    <definedName name="student_name" localSheetId="7">asgm_1_FMartin_corrected!$B$2</definedName>
    <definedName name="student_name" localSheetId="4">asgm_1_JCastelo_corrected!$B$2</definedName>
    <definedName name="student_name" localSheetId="19">asgm_1_JTasende!$B$2</definedName>
    <definedName name="student_name" localSheetId="6">asgm_1_MDiarra_corrected!$B$2</definedName>
    <definedName name="student_name" localSheetId="8">asgm_1_NFeiger!$B$2</definedName>
    <definedName name="student_name" localSheetId="9">asgm_1_SGonzalez!$B$2</definedName>
    <definedName name="student_name" localSheetId="13">asgm_1_SMartinez!$B$2</definedName>
    <definedName name="student_name" localSheetId="17">asgm_1_SRos!$B$2</definedName>
    <definedName name="student_name" localSheetId="20">asgm_1_SVásquez!$B$2</definedName>
    <definedName name="student_name" localSheetId="16">asgm_1_TPloquin!$B$2</definedName>
    <definedName name="student_name" localSheetId="11">asgm_1_VLopez!$B$2</definedName>
    <definedName name="student_name" localSheetId="2">st_template!$B$2</definedName>
    <definedName name="student_surname" localSheetId="3">asgm_1_ACamarena_corrected!$B$3</definedName>
    <definedName name="student_surname" localSheetId="15">asgm_1_AOcariz!$B$3</definedName>
    <definedName name="student_surname" localSheetId="5">asgm_1_DLarrañaga_corrected!$B$3</definedName>
    <definedName name="student_surname" localSheetId="18">asgm_1_DSaldarriaga!$B$3</definedName>
    <definedName name="student_surname" localSheetId="21">asgm_1_DVillalain!$B$3</definedName>
    <definedName name="student_surname" localSheetId="12">asgm_1_EMarmolejos!$B$3</definedName>
    <definedName name="student_surname" localSheetId="14">asgm_1_EMeier!$B$3</definedName>
    <definedName name="student_surname" localSheetId="10">asgm_1_FJimenez!$B$3</definedName>
    <definedName name="student_surname" localSheetId="7">asgm_1_FMartin_corrected!$B$3</definedName>
    <definedName name="student_surname" localSheetId="4">asgm_1_JCastelo_corrected!$B$3</definedName>
    <definedName name="student_surname" localSheetId="19">asgm_1_JTasende!$B$3</definedName>
    <definedName name="student_surname" localSheetId="6">asgm_1_MDiarra_corrected!$B$3</definedName>
    <definedName name="student_surname" localSheetId="8">asgm_1_NFeiger!$B$3</definedName>
    <definedName name="student_surname" localSheetId="9">asgm_1_SGonzalez!$B$3</definedName>
    <definedName name="student_surname" localSheetId="13">asgm_1_SMartinez!$B$3</definedName>
    <definedName name="student_surname" localSheetId="17">asgm_1_SRos!$B$3</definedName>
    <definedName name="student_surname" localSheetId="20">asgm_1_SVásquez!$B$3</definedName>
    <definedName name="student_surname" localSheetId="16">asgm_1_TPloquin!$B$3</definedName>
    <definedName name="student_surname" localSheetId="11">asgm_1_VLopez!$B$3</definedName>
    <definedName name="student_surname" localSheetId="2">st_template!$B$3</definedName>
    <definedName name="surnames" localSheetId="1">student_names!$B$6:$B$61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2" i="15" l="1"/>
  <c r="B22" i="15"/>
  <c r="F22" i="14"/>
  <c r="F22" i="13"/>
  <c r="F21" i="31"/>
  <c r="B21" i="31"/>
  <c r="B1" i="31"/>
  <c r="B4" i="31" s="1"/>
  <c r="F21" i="30"/>
  <c r="B21" i="30"/>
  <c r="B1" i="30"/>
  <c r="B4" i="30" s="1"/>
  <c r="F21" i="29"/>
  <c r="B21" i="29"/>
  <c r="B1" i="29"/>
  <c r="B4" i="29" s="1"/>
  <c r="F21" i="28"/>
  <c r="B21" i="28"/>
  <c r="B1" i="28"/>
  <c r="B4" i="28" s="1"/>
  <c r="F21" i="27"/>
  <c r="B21" i="27"/>
  <c r="B1" i="27"/>
  <c r="B4" i="27" s="1"/>
  <c r="F21" i="26"/>
  <c r="B21" i="26"/>
  <c r="B4" i="26"/>
  <c r="B1" i="26"/>
  <c r="F21" i="25"/>
  <c r="B21" i="25"/>
  <c r="B1" i="25"/>
  <c r="B4" i="25" s="1"/>
  <c r="F21" i="24"/>
  <c r="B21" i="24"/>
  <c r="B1" i="24"/>
  <c r="B4" i="24" s="1"/>
  <c r="F21" i="23"/>
  <c r="B21" i="23"/>
  <c r="B1" i="23"/>
  <c r="B4" i="23" s="1"/>
  <c r="F21" i="22"/>
  <c r="B21" i="22"/>
  <c r="B1" i="22"/>
  <c r="B4" i="22" s="1"/>
  <c r="F21" i="21"/>
  <c r="B21" i="21"/>
  <c r="B1" i="21"/>
  <c r="B4" i="21" s="1"/>
  <c r="F21" i="20"/>
  <c r="B21" i="20"/>
  <c r="B4" i="20"/>
  <c r="B1" i="20"/>
  <c r="F21" i="19"/>
  <c r="B21" i="19"/>
  <c r="B1" i="19"/>
  <c r="B4" i="19" s="1"/>
  <c r="F21" i="18"/>
  <c r="B21" i="18"/>
  <c r="B1" i="18"/>
  <c r="B4" i="18" s="1"/>
  <c r="F22" i="17"/>
  <c r="B22" i="17"/>
  <c r="B1" i="17"/>
  <c r="B4" i="17" s="1"/>
  <c r="F22" i="16"/>
  <c r="B22" i="16"/>
  <c r="B1" i="16"/>
  <c r="B4" i="16" s="1"/>
  <c r="B1" i="15"/>
  <c r="B4" i="15" s="1"/>
  <c r="B22" i="14"/>
  <c r="B1" i="14"/>
  <c r="B4" i="14" s="1"/>
  <c r="B22" i="13"/>
  <c r="B1" i="13"/>
  <c r="B4" i="13" s="1"/>
  <c r="B1" i="2"/>
  <c r="B21" i="2"/>
  <c r="F21" i="2"/>
  <c r="C12" i="6"/>
  <c r="C7" i="6"/>
  <c r="C8" i="6"/>
  <c r="C9" i="6"/>
  <c r="C10" i="6"/>
  <c r="C11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60" i="6"/>
  <c r="C61" i="6"/>
  <c r="C6" i="6"/>
  <c r="B4" i="2"/>
</calcChain>
</file>

<file path=xl/sharedStrings.xml><?xml version="1.0" encoding="utf-8"?>
<sst xmlns="http://schemas.openxmlformats.org/spreadsheetml/2006/main" count="1449" uniqueCount="78">
  <si>
    <t>Total</t>
  </si>
  <si>
    <t>Max</t>
  </si>
  <si>
    <t>Section</t>
  </si>
  <si>
    <t>Assignment_ID</t>
  </si>
  <si>
    <t>Name</t>
  </si>
  <si>
    <t>Student4</t>
  </si>
  <si>
    <t>Surname</t>
  </si>
  <si>
    <t>Surname4</t>
  </si>
  <si>
    <t>Stundents answer</t>
  </si>
  <si>
    <t>n_words</t>
  </si>
  <si>
    <t>max words</t>
  </si>
  <si>
    <t>Grade</t>
  </si>
  <si>
    <t>Feedback</t>
  </si>
  <si>
    <t>Names</t>
  </si>
  <si>
    <t>Surnames</t>
  </si>
  <si>
    <t>Filename</t>
  </si>
  <si>
    <t>Assignment</t>
  </si>
  <si>
    <t>Formula</t>
  </si>
  <si>
    <t>Input</t>
  </si>
  <si>
    <t>filename</t>
  </si>
  <si>
    <t>-</t>
  </si>
  <si>
    <t>asgm_1</t>
  </si>
  <si>
    <t>ARTURO</t>
  </si>
  <si>
    <t>DIEGO</t>
  </si>
  <si>
    <t>MOHAMED</t>
  </si>
  <si>
    <t>FACUNDO</t>
  </si>
  <si>
    <t>NOAH</t>
  </si>
  <si>
    <t>SOFIA</t>
  </si>
  <si>
    <t>FRANCISCO</t>
  </si>
  <si>
    <t>VALERIA</t>
  </si>
  <si>
    <t>EDWIN</t>
  </si>
  <si>
    <t>ELARD</t>
  </si>
  <si>
    <t>ANA</t>
  </si>
  <si>
    <t>TOMAS</t>
  </si>
  <si>
    <t>STEPHANIE</t>
  </si>
  <si>
    <t>DANIELA</t>
  </si>
  <si>
    <t>JUAN</t>
  </si>
  <si>
    <t>SEBASTIAN</t>
  </si>
  <si>
    <t>DANIEL</t>
  </si>
  <si>
    <t>JMARIA</t>
  </si>
  <si>
    <t>S_ISABELLA</t>
  </si>
  <si>
    <t>Camarena</t>
  </si>
  <si>
    <t>Castelo</t>
  </si>
  <si>
    <t>Larrañaga</t>
  </si>
  <si>
    <t>Diarra</t>
  </si>
  <si>
    <t>Martin</t>
  </si>
  <si>
    <t>Feiger</t>
  </si>
  <si>
    <t>Gonzalez</t>
  </si>
  <si>
    <t>Jimenez</t>
  </si>
  <si>
    <t>Lopez</t>
  </si>
  <si>
    <t>Marmolejos</t>
  </si>
  <si>
    <t>Martinez</t>
  </si>
  <si>
    <t>Meier</t>
  </si>
  <si>
    <t>Ocariz</t>
  </si>
  <si>
    <t>Ploquin</t>
  </si>
  <si>
    <t>Ros</t>
  </si>
  <si>
    <t>Saldarriaga</t>
  </si>
  <si>
    <t>Tasende</t>
  </si>
  <si>
    <t>Vásquez</t>
  </si>
  <si>
    <t>Villalain</t>
  </si>
  <si>
    <t>1_1</t>
  </si>
  <si>
    <t>1_2</t>
  </si>
  <si>
    <t>1_3</t>
  </si>
  <si>
    <t>1_4</t>
  </si>
  <si>
    <t>2_1</t>
  </si>
  <si>
    <t>2_2</t>
  </si>
  <si>
    <t>2_3</t>
  </si>
  <si>
    <t>3_1</t>
  </si>
  <si>
    <t>3_2_1</t>
  </si>
  <si>
    <t>3_2_2</t>
  </si>
  <si>
    <t>3_2_3</t>
  </si>
  <si>
    <t>3_2_5</t>
  </si>
  <si>
    <t>3_2_4</t>
  </si>
  <si>
    <t>See .qmd file</t>
  </si>
  <si>
    <t>YY_asgmt1_students.qmd</t>
  </si>
  <si>
    <t>Vasquez</t>
  </si>
  <si>
    <t>x</t>
  </si>
  <si>
    <t>3_2_6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</si>
</sst>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2" fontId="1" fillId="2" borderId="1" xfId="0" applyNumberFormat="1" applyFont="1" applyFill="1" applyBorder="1"/>
    <xf numFmtId="2" fontId="0" fillId="2" borderId="0" xfId="0" applyNumberFormat="1" applyFill="1"/>
    <xf numFmtId="2" fontId="0" fillId="0" borderId="0" xfId="0" applyNumberFormat="1"/>
    <xf numFmtId="2" fontId="1" fillId="2" borderId="4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 vertical="top"/>
    </xf>
    <xf numFmtId="2" fontId="1" fillId="2" borderId="5" xfId="0" applyNumberFormat="1" applyFont="1" applyFill="1" applyBorder="1" applyAlignment="1">
      <alignment horizontal="center"/>
    </xf>
    <xf numFmtId="2" fontId="1" fillId="2" borderId="6" xfId="0" applyNumberFormat="1" applyFont="1" applyFill="1" applyBorder="1" applyAlignment="1">
      <alignment horizontal="left"/>
    </xf>
    <xf numFmtId="2" fontId="0" fillId="2" borderId="1" xfId="0" applyNumberFormat="1" applyFill="1" applyBorder="1" applyAlignment="1">
      <alignment horizontal="left" vertical="top"/>
    </xf>
    <xf numFmtId="2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2" fontId="0" fillId="2" borderId="8" xfId="0" applyNumberFormat="1" applyFill="1" applyBorder="1" applyAlignment="1">
      <alignment horizontal="left" vertical="top"/>
    </xf>
    <xf numFmtId="2" fontId="1" fillId="2" borderId="1" xfId="0" applyNumberFormat="1" applyFont="1" applyFill="1" applyBorder="1" applyAlignment="1">
      <alignment horizont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2" fontId="0" fillId="4" borderId="1" xfId="0" applyNumberFormat="1" applyFill="1" applyBorder="1" applyAlignment="1">
      <alignment horizontal="center"/>
    </xf>
    <xf numFmtId="0" fontId="1" fillId="0" borderId="12" xfId="0" applyFont="1" applyBorder="1"/>
    <xf numFmtId="0" fontId="0" fillId="0" borderId="12" xfId="0" applyFont="1" applyBorder="1"/>
    <xf numFmtId="1" fontId="0" fillId="2" borderId="7" xfId="0" applyNumberFormat="1" applyFill="1" applyBorder="1" applyAlignment="1">
      <alignment horizontal="center" vertical="top"/>
    </xf>
    <xf numFmtId="2" fontId="0" fillId="2" borderId="2" xfId="0" applyNumberFormat="1" applyFill="1" applyBorder="1" applyAlignment="1">
      <alignment horizontal="left" vertical="top"/>
    </xf>
    <xf numFmtId="0" fontId="0" fillId="0" borderId="1" xfId="0" applyBorder="1"/>
    <xf numFmtId="2" fontId="1" fillId="2" borderId="2" xfId="0" applyNumberFormat="1" applyFont="1" applyFill="1" applyBorder="1" applyAlignment="1">
      <alignment horizontal="left" vertical="top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2" fontId="0" fillId="3" borderId="1" xfId="0" applyNumberFormat="1" applyFill="1" applyBorder="1" applyAlignment="1">
      <alignment horizontal="left" vertical="top"/>
    </xf>
    <xf numFmtId="2" fontId="0" fillId="3" borderId="2" xfId="0" applyNumberFormat="1" applyFill="1" applyBorder="1" applyAlignment="1">
      <alignment horizontal="left" vertical="top"/>
    </xf>
    <xf numFmtId="2" fontId="0" fillId="3" borderId="3" xfId="0" applyNumberFormat="1" applyFill="1" applyBorder="1" applyAlignment="1">
      <alignment horizontal="left" vertical="top"/>
    </xf>
    <xf numFmtId="2" fontId="0" fillId="2" borderId="1" xfId="0" quotePrefix="1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5"/>
  <sheetViews>
    <sheetView zoomScaleNormal="100" workbookViewId="0">
      <selection activeCell="C1" sqref="C1"/>
    </sheetView>
  </sheetViews>
  <sheetFormatPr defaultRowHeight="14.4" x14ac:dyDescent="0.3"/>
  <cols>
    <col min="1" max="1" width="9.44140625" bestFit="1" customWidth="1"/>
    <col min="3" max="3" width="11" customWidth="1"/>
    <col min="4" max="4" width="10.33203125" customWidth="1"/>
    <col min="5" max="5" width="11.5546875" customWidth="1"/>
    <col min="6" max="6" width="11" customWidth="1"/>
    <col min="7" max="7" width="12" customWidth="1"/>
    <col min="8" max="8" width="10.88671875" customWidth="1"/>
    <col min="9" max="9" width="11.6640625" customWidth="1"/>
  </cols>
  <sheetData>
    <row r="1" spans="1:37" x14ac:dyDescent="0.3">
      <c r="A1" s="27" t="s">
        <v>2</v>
      </c>
      <c r="B1" s="27" t="s">
        <v>1</v>
      </c>
      <c r="C1" s="13"/>
      <c r="D1" s="13"/>
      <c r="E1" s="13"/>
      <c r="F1" s="13"/>
      <c r="G1" s="13"/>
      <c r="H1" s="13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</row>
    <row r="2" spans="1:37" x14ac:dyDescent="0.3">
      <c r="A2" s="23" t="s">
        <v>60</v>
      </c>
      <c r="B2" s="24">
        <v>1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</row>
    <row r="3" spans="1:37" x14ac:dyDescent="0.3">
      <c r="A3" s="23" t="s">
        <v>61</v>
      </c>
      <c r="B3" s="24">
        <v>0.8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</row>
    <row r="4" spans="1:37" x14ac:dyDescent="0.3">
      <c r="A4" s="23" t="s">
        <v>62</v>
      </c>
      <c r="B4" s="24">
        <v>0.8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</row>
    <row r="5" spans="1:37" x14ac:dyDescent="0.3">
      <c r="A5" s="23" t="s">
        <v>63</v>
      </c>
      <c r="B5" s="24">
        <v>0.7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</row>
    <row r="6" spans="1:37" x14ac:dyDescent="0.3">
      <c r="A6" s="23" t="s">
        <v>64</v>
      </c>
      <c r="B6" s="24">
        <v>1.1000000000000001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</row>
    <row r="7" spans="1:37" x14ac:dyDescent="0.3">
      <c r="A7" s="23" t="s">
        <v>65</v>
      </c>
      <c r="B7" s="24">
        <v>1.1000000000000001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</row>
    <row r="8" spans="1:37" x14ac:dyDescent="0.3">
      <c r="A8" s="23" t="s">
        <v>66</v>
      </c>
      <c r="B8" s="24">
        <v>1.1000000000000001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37" x14ac:dyDescent="0.3">
      <c r="A9" s="23" t="s">
        <v>67</v>
      </c>
      <c r="B9" s="24">
        <v>0.5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37" x14ac:dyDescent="0.3">
      <c r="A10" s="23" t="s">
        <v>68</v>
      </c>
      <c r="B10" s="24">
        <v>0.5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37" x14ac:dyDescent="0.3">
      <c r="A11" s="23" t="s">
        <v>69</v>
      </c>
      <c r="B11" s="24">
        <v>0.5</v>
      </c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37" x14ac:dyDescent="0.3">
      <c r="A12" s="23" t="s">
        <v>70</v>
      </c>
      <c r="B12" s="24">
        <v>0.5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37" x14ac:dyDescent="0.3">
      <c r="A13" s="23" t="s">
        <v>72</v>
      </c>
      <c r="B13" s="24">
        <v>0.7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37" x14ac:dyDescent="0.3">
      <c r="A14" s="23" t="s">
        <v>71</v>
      </c>
      <c r="B14" s="24">
        <v>0.7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37" x14ac:dyDescent="0.3">
      <c r="B15" s="26" t="s">
        <v>0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0971-C89F-4F36-999D-A236429EEA8F}">
  <sheetPr codeName="Sheet2"/>
  <dimension ref="A2:F62"/>
  <sheetViews>
    <sheetView workbookViewId="0">
      <selection activeCell="D24" sqref="D24"/>
    </sheetView>
  </sheetViews>
  <sheetFormatPr defaultRowHeight="14.4" x14ac:dyDescent="0.3"/>
  <cols>
    <col min="1" max="1" width="13.88671875" bestFit="1" customWidth="1"/>
    <col min="2" max="2" width="14.5546875" customWidth="1"/>
    <col min="3" max="3" width="28.33203125" customWidth="1"/>
  </cols>
  <sheetData>
    <row r="2" spans="1:6" x14ac:dyDescent="0.3">
      <c r="A2" s="21" t="s">
        <v>16</v>
      </c>
      <c r="B2" s="22" t="s">
        <v>21</v>
      </c>
    </row>
    <row r="3" spans="1:6" x14ac:dyDescent="0.3">
      <c r="A3" s="13" t="s">
        <v>19</v>
      </c>
      <c r="B3" s="28" t="s">
        <v>74</v>
      </c>
      <c r="C3" s="28"/>
      <c r="D3" s="28"/>
      <c r="E3" s="28"/>
      <c r="F3" s="28"/>
    </row>
    <row r="4" spans="1:6" ht="15" thickBot="1" x14ac:dyDescent="0.35"/>
    <row r="5" spans="1:6" x14ac:dyDescent="0.3">
      <c r="A5" s="17" t="s">
        <v>13</v>
      </c>
      <c r="B5" s="18" t="s">
        <v>14</v>
      </c>
      <c r="C5" s="19" t="s">
        <v>15</v>
      </c>
      <c r="E5" s="14" t="s">
        <v>18</v>
      </c>
    </row>
    <row r="6" spans="1:6" x14ac:dyDescent="0.3">
      <c r="A6" s="14" t="s">
        <v>22</v>
      </c>
      <c r="B6" s="14" t="s">
        <v>41</v>
      </c>
      <c r="C6" s="15" t="str">
        <f t="shared" ref="C6:C37" si="0">IF(ISBLANK(A6), "", assignment_id &amp; "_" &amp; LEFT(SUBSTITUTE(A6, " ", ""), 1) &amp; SUBSTITUTE(B6, " ", ""))</f>
        <v>asgm_1_ACamarena</v>
      </c>
      <c r="D6" t="s">
        <v>76</v>
      </c>
      <c r="E6" s="15" t="s">
        <v>17</v>
      </c>
    </row>
    <row r="7" spans="1:6" x14ac:dyDescent="0.3">
      <c r="A7" s="14" t="s">
        <v>39</v>
      </c>
      <c r="B7" s="14" t="s">
        <v>42</v>
      </c>
      <c r="C7" s="15" t="str">
        <f t="shared" si="0"/>
        <v>asgm_1_JCastelo</v>
      </c>
      <c r="D7" t="s">
        <v>76</v>
      </c>
    </row>
    <row r="8" spans="1:6" x14ac:dyDescent="0.3">
      <c r="A8" s="14" t="s">
        <v>23</v>
      </c>
      <c r="B8" s="14" t="s">
        <v>43</v>
      </c>
      <c r="C8" s="15" t="str">
        <f t="shared" si="0"/>
        <v>asgm_1_DLarrañaga</v>
      </c>
      <c r="D8" t="s">
        <v>76</v>
      </c>
    </row>
    <row r="9" spans="1:6" x14ac:dyDescent="0.3">
      <c r="A9" s="14" t="s">
        <v>24</v>
      </c>
      <c r="B9" s="14" t="s">
        <v>44</v>
      </c>
      <c r="C9" s="15" t="str">
        <f t="shared" si="0"/>
        <v>asgm_1_MDiarra</v>
      </c>
      <c r="D9" t="s">
        <v>76</v>
      </c>
    </row>
    <row r="10" spans="1:6" x14ac:dyDescent="0.3">
      <c r="A10" s="14" t="s">
        <v>25</v>
      </c>
      <c r="B10" s="14" t="s">
        <v>45</v>
      </c>
      <c r="C10" s="15" t="str">
        <f t="shared" si="0"/>
        <v>asgm_1_FMartin</v>
      </c>
      <c r="D10" t="s">
        <v>76</v>
      </c>
    </row>
    <row r="11" spans="1:6" x14ac:dyDescent="0.3">
      <c r="A11" s="14" t="s">
        <v>26</v>
      </c>
      <c r="B11" s="14" t="s">
        <v>46</v>
      </c>
      <c r="C11" s="15" t="str">
        <f t="shared" si="0"/>
        <v>asgm_1_NFeiger</v>
      </c>
      <c r="D11" t="s">
        <v>76</v>
      </c>
    </row>
    <row r="12" spans="1:6" x14ac:dyDescent="0.3">
      <c r="A12" s="14" t="s">
        <v>27</v>
      </c>
      <c r="B12" s="14" t="s">
        <v>47</v>
      </c>
      <c r="C12" s="15" t="str">
        <f t="shared" si="0"/>
        <v>asgm_1_SGonzalez</v>
      </c>
      <c r="D12" t="s">
        <v>76</v>
      </c>
    </row>
    <row r="13" spans="1:6" x14ac:dyDescent="0.3">
      <c r="A13" s="14" t="s">
        <v>28</v>
      </c>
      <c r="B13" s="14" t="s">
        <v>48</v>
      </c>
      <c r="C13" s="15" t="str">
        <f t="shared" si="0"/>
        <v>asgm_1_FJimenez</v>
      </c>
      <c r="D13" t="s">
        <v>76</v>
      </c>
    </row>
    <row r="14" spans="1:6" x14ac:dyDescent="0.3">
      <c r="A14" s="14" t="s">
        <v>29</v>
      </c>
      <c r="B14" s="14" t="s">
        <v>49</v>
      </c>
      <c r="C14" s="15" t="str">
        <f t="shared" si="0"/>
        <v>asgm_1_VLopez</v>
      </c>
      <c r="D14" t="s">
        <v>76</v>
      </c>
    </row>
    <row r="15" spans="1:6" x14ac:dyDescent="0.3">
      <c r="A15" s="14" t="s">
        <v>30</v>
      </c>
      <c r="B15" s="14" t="s">
        <v>50</v>
      </c>
      <c r="C15" s="15" t="str">
        <f t="shared" si="0"/>
        <v>asgm_1_EMarmolejos</v>
      </c>
      <c r="D15" t="s">
        <v>76</v>
      </c>
    </row>
    <row r="16" spans="1:6" x14ac:dyDescent="0.3">
      <c r="A16" s="14" t="s">
        <v>40</v>
      </c>
      <c r="B16" s="14" t="s">
        <v>51</v>
      </c>
      <c r="C16" s="15" t="str">
        <f t="shared" si="0"/>
        <v>asgm_1_SMartinez</v>
      </c>
      <c r="D16" t="s">
        <v>76</v>
      </c>
    </row>
    <row r="17" spans="1:4" x14ac:dyDescent="0.3">
      <c r="A17" s="14" t="s">
        <v>31</v>
      </c>
      <c r="B17" s="14" t="s">
        <v>52</v>
      </c>
      <c r="C17" s="15" t="str">
        <f t="shared" si="0"/>
        <v>asgm_1_EMeier</v>
      </c>
      <c r="D17" t="s">
        <v>76</v>
      </c>
    </row>
    <row r="18" spans="1:4" x14ac:dyDescent="0.3">
      <c r="A18" s="14" t="s">
        <v>32</v>
      </c>
      <c r="B18" s="14" t="s">
        <v>53</v>
      </c>
      <c r="C18" s="15" t="str">
        <f t="shared" si="0"/>
        <v>asgm_1_AOcariz</v>
      </c>
      <c r="D18" t="s">
        <v>76</v>
      </c>
    </row>
    <row r="19" spans="1:4" x14ac:dyDescent="0.3">
      <c r="A19" s="14" t="s">
        <v>33</v>
      </c>
      <c r="B19" s="14" t="s">
        <v>54</v>
      </c>
      <c r="C19" s="15" t="str">
        <f t="shared" si="0"/>
        <v>asgm_1_TPloquin</v>
      </c>
    </row>
    <row r="20" spans="1:4" x14ac:dyDescent="0.3">
      <c r="A20" s="14" t="s">
        <v>34</v>
      </c>
      <c r="B20" s="14" t="s">
        <v>55</v>
      </c>
      <c r="C20" s="15" t="str">
        <f t="shared" si="0"/>
        <v>asgm_1_SRos</v>
      </c>
      <c r="D20" t="s">
        <v>76</v>
      </c>
    </row>
    <row r="21" spans="1:4" x14ac:dyDescent="0.3">
      <c r="A21" s="14" t="s">
        <v>35</v>
      </c>
      <c r="B21" s="14" t="s">
        <v>56</v>
      </c>
      <c r="C21" s="15" t="str">
        <f t="shared" si="0"/>
        <v>asgm_1_DSaldarriaga</v>
      </c>
      <c r="D21" t="s">
        <v>76</v>
      </c>
    </row>
    <row r="22" spans="1:4" x14ac:dyDescent="0.3">
      <c r="A22" s="14" t="s">
        <v>36</v>
      </c>
      <c r="B22" s="14" t="s">
        <v>57</v>
      </c>
      <c r="C22" s="15" t="str">
        <f t="shared" si="0"/>
        <v>asgm_1_JTasende</v>
      </c>
      <c r="D22" t="s">
        <v>76</v>
      </c>
    </row>
    <row r="23" spans="1:4" x14ac:dyDescent="0.3">
      <c r="A23" s="14" t="s">
        <v>37</v>
      </c>
      <c r="B23" s="14" t="s">
        <v>75</v>
      </c>
      <c r="C23" s="15" t="str">
        <f t="shared" si="0"/>
        <v>asgm_1_SVasquez</v>
      </c>
      <c r="D23" t="s">
        <v>76</v>
      </c>
    </row>
    <row r="24" spans="1:4" x14ac:dyDescent="0.3">
      <c r="A24" s="14" t="s">
        <v>38</v>
      </c>
      <c r="B24" s="14" t="s">
        <v>59</v>
      </c>
      <c r="C24" s="15" t="str">
        <f t="shared" si="0"/>
        <v>asgm_1_DVillalain</v>
      </c>
      <c r="D24" t="s">
        <v>76</v>
      </c>
    </row>
    <row r="25" spans="1:4" x14ac:dyDescent="0.3">
      <c r="A25" s="14"/>
      <c r="B25" s="14"/>
      <c r="C25" s="15" t="str">
        <f t="shared" si="0"/>
        <v/>
      </c>
    </row>
    <row r="26" spans="1:4" x14ac:dyDescent="0.3">
      <c r="A26" s="14"/>
      <c r="B26" s="14"/>
      <c r="C26" s="15" t="str">
        <f t="shared" si="0"/>
        <v/>
      </c>
    </row>
    <row r="27" spans="1:4" x14ac:dyDescent="0.3">
      <c r="A27" s="14"/>
      <c r="B27" s="14"/>
      <c r="C27" s="15" t="str">
        <f t="shared" si="0"/>
        <v/>
      </c>
    </row>
    <row r="28" spans="1:4" x14ac:dyDescent="0.3">
      <c r="A28" s="14"/>
      <c r="B28" s="14"/>
      <c r="C28" s="15" t="str">
        <f t="shared" si="0"/>
        <v/>
      </c>
    </row>
    <row r="29" spans="1:4" x14ac:dyDescent="0.3">
      <c r="A29" s="14"/>
      <c r="B29" s="14"/>
      <c r="C29" s="15" t="str">
        <f t="shared" si="0"/>
        <v/>
      </c>
    </row>
    <row r="30" spans="1:4" x14ac:dyDescent="0.3">
      <c r="A30" s="14"/>
      <c r="B30" s="14"/>
      <c r="C30" s="15" t="str">
        <f t="shared" si="0"/>
        <v/>
      </c>
    </row>
    <row r="31" spans="1:4" x14ac:dyDescent="0.3">
      <c r="A31" s="14"/>
      <c r="B31" s="14"/>
      <c r="C31" s="15" t="str">
        <f t="shared" si="0"/>
        <v/>
      </c>
    </row>
    <row r="32" spans="1:4" x14ac:dyDescent="0.3">
      <c r="A32" s="14"/>
      <c r="B32" s="14"/>
      <c r="C32" s="15" t="str">
        <f t="shared" si="0"/>
        <v/>
      </c>
    </row>
    <row r="33" spans="1:3" x14ac:dyDescent="0.3">
      <c r="A33" s="14"/>
      <c r="B33" s="14"/>
      <c r="C33" s="15" t="str">
        <f t="shared" si="0"/>
        <v/>
      </c>
    </row>
    <row r="34" spans="1:3" x14ac:dyDescent="0.3">
      <c r="A34" s="14"/>
      <c r="B34" s="14"/>
      <c r="C34" s="15" t="str">
        <f t="shared" si="0"/>
        <v/>
      </c>
    </row>
    <row r="35" spans="1:3" x14ac:dyDescent="0.3">
      <c r="A35" s="14"/>
      <c r="B35" s="14"/>
      <c r="C35" s="15" t="str">
        <f t="shared" si="0"/>
        <v/>
      </c>
    </row>
    <row r="36" spans="1:3" x14ac:dyDescent="0.3">
      <c r="A36" s="14"/>
      <c r="B36" s="14"/>
      <c r="C36" s="15" t="str">
        <f t="shared" si="0"/>
        <v/>
      </c>
    </row>
    <row r="37" spans="1:3" x14ac:dyDescent="0.3">
      <c r="A37" s="14"/>
      <c r="B37" s="14"/>
      <c r="C37" s="15" t="str">
        <f t="shared" si="0"/>
        <v/>
      </c>
    </row>
    <row r="38" spans="1:3" x14ac:dyDescent="0.3">
      <c r="A38" s="14"/>
      <c r="B38" s="14"/>
      <c r="C38" s="15" t="str">
        <f t="shared" ref="C38:C57" si="1">IF(ISBLANK(A38), "", assignment_id &amp; "_" &amp; LEFT(SUBSTITUTE(A38, " ", ""), 1) &amp; SUBSTITUTE(B38, " ", ""))</f>
        <v/>
      </c>
    </row>
    <row r="39" spans="1:3" x14ac:dyDescent="0.3">
      <c r="A39" s="14"/>
      <c r="B39" s="14"/>
      <c r="C39" s="15" t="str">
        <f t="shared" si="1"/>
        <v/>
      </c>
    </row>
    <row r="40" spans="1:3" x14ac:dyDescent="0.3">
      <c r="A40" s="14"/>
      <c r="B40" s="14"/>
      <c r="C40" s="15" t="str">
        <f t="shared" si="1"/>
        <v/>
      </c>
    </row>
    <row r="41" spans="1:3" x14ac:dyDescent="0.3">
      <c r="A41" s="14"/>
      <c r="B41" s="14"/>
      <c r="C41" s="15" t="str">
        <f t="shared" si="1"/>
        <v/>
      </c>
    </row>
    <row r="42" spans="1:3" x14ac:dyDescent="0.3">
      <c r="A42" s="14"/>
      <c r="B42" s="14"/>
      <c r="C42" s="15" t="str">
        <f t="shared" si="1"/>
        <v/>
      </c>
    </row>
    <row r="43" spans="1:3" x14ac:dyDescent="0.3">
      <c r="A43" s="14"/>
      <c r="B43" s="14"/>
      <c r="C43" s="15" t="str">
        <f t="shared" si="1"/>
        <v/>
      </c>
    </row>
    <row r="44" spans="1:3" x14ac:dyDescent="0.3">
      <c r="A44" s="14"/>
      <c r="B44" s="14"/>
      <c r="C44" s="15" t="str">
        <f t="shared" si="1"/>
        <v/>
      </c>
    </row>
    <row r="45" spans="1:3" x14ac:dyDescent="0.3">
      <c r="A45" s="14"/>
      <c r="B45" s="14"/>
      <c r="C45" s="15" t="str">
        <f t="shared" si="1"/>
        <v/>
      </c>
    </row>
    <row r="46" spans="1:3" x14ac:dyDescent="0.3">
      <c r="A46" s="14"/>
      <c r="B46" s="14"/>
      <c r="C46" s="15" t="str">
        <f t="shared" si="1"/>
        <v/>
      </c>
    </row>
    <row r="47" spans="1:3" x14ac:dyDescent="0.3">
      <c r="A47" s="14"/>
      <c r="B47" s="14"/>
      <c r="C47" s="15" t="str">
        <f t="shared" si="1"/>
        <v/>
      </c>
    </row>
    <row r="48" spans="1:3" x14ac:dyDescent="0.3">
      <c r="A48" s="14"/>
      <c r="B48" s="14"/>
      <c r="C48" s="15" t="str">
        <f t="shared" si="1"/>
        <v/>
      </c>
    </row>
    <row r="49" spans="1:3" x14ac:dyDescent="0.3">
      <c r="A49" s="14"/>
      <c r="B49" s="14"/>
      <c r="C49" s="15" t="str">
        <f t="shared" si="1"/>
        <v/>
      </c>
    </row>
    <row r="50" spans="1:3" x14ac:dyDescent="0.3">
      <c r="A50" s="14"/>
      <c r="B50" s="14"/>
      <c r="C50" s="15" t="str">
        <f t="shared" si="1"/>
        <v/>
      </c>
    </row>
    <row r="51" spans="1:3" x14ac:dyDescent="0.3">
      <c r="A51" s="14"/>
      <c r="B51" s="14"/>
      <c r="C51" s="15" t="str">
        <f t="shared" si="1"/>
        <v/>
      </c>
    </row>
    <row r="52" spans="1:3" x14ac:dyDescent="0.3">
      <c r="A52" s="14"/>
      <c r="B52" s="14"/>
      <c r="C52" s="15" t="str">
        <f t="shared" si="1"/>
        <v/>
      </c>
    </row>
    <row r="53" spans="1:3" x14ac:dyDescent="0.3">
      <c r="A53" s="14"/>
      <c r="B53" s="14"/>
      <c r="C53" s="15" t="str">
        <f t="shared" si="1"/>
        <v/>
      </c>
    </row>
    <row r="54" spans="1:3" x14ac:dyDescent="0.3">
      <c r="A54" s="14"/>
      <c r="B54" s="14"/>
      <c r="C54" s="15" t="str">
        <f t="shared" si="1"/>
        <v/>
      </c>
    </row>
    <row r="55" spans="1:3" x14ac:dyDescent="0.3">
      <c r="A55" s="14"/>
      <c r="B55" s="14"/>
      <c r="C55" s="15" t="str">
        <f t="shared" si="1"/>
        <v/>
      </c>
    </row>
    <row r="56" spans="1:3" x14ac:dyDescent="0.3">
      <c r="A56" s="14"/>
      <c r="B56" s="14"/>
      <c r="C56" s="15" t="str">
        <f t="shared" si="1"/>
        <v/>
      </c>
    </row>
    <row r="57" spans="1:3" x14ac:dyDescent="0.3">
      <c r="A57" s="14"/>
      <c r="B57" s="14"/>
      <c r="C57" s="15" t="str">
        <f t="shared" si="1"/>
        <v/>
      </c>
    </row>
    <row r="58" spans="1:3" x14ac:dyDescent="0.3">
      <c r="A58" s="14"/>
      <c r="B58" s="14"/>
      <c r="C58" s="15"/>
    </row>
    <row r="59" spans="1:3" x14ac:dyDescent="0.3">
      <c r="A59" s="14"/>
      <c r="B59" s="14"/>
      <c r="C59" s="15"/>
    </row>
    <row r="60" spans="1:3" x14ac:dyDescent="0.3">
      <c r="A60" s="14"/>
      <c r="B60" s="14"/>
      <c r="C60" s="15" t="str">
        <f>IF(ISBLANK(A60), "", assignment_id &amp; "_" &amp; LEFT(SUBSTITUTE(A60, " ", ""), 1) &amp; SUBSTITUTE(B60, " ", ""))</f>
        <v/>
      </c>
    </row>
    <row r="61" spans="1:3" x14ac:dyDescent="0.3">
      <c r="A61" s="14"/>
      <c r="B61" s="14"/>
      <c r="C61" s="15" t="str">
        <f>IF(ISBLANK(A61), "", assignment_id &amp; "_" &amp; LEFT(SUBSTITUTE(A61, " ", ""), 1) &amp; SUBSTITUTE(B61, " ", ""))</f>
        <v/>
      </c>
    </row>
    <row r="62" spans="1:3" x14ac:dyDescent="0.3">
      <c r="C62" s="16"/>
    </row>
  </sheetData>
  <mergeCells count="1">
    <mergeCell ref="B3:F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D664-D5B0-48C7-B3F8-6D3F17E165B7}">
  <sheetPr codeName="Sheet3"/>
  <dimension ref="A1:K55"/>
  <sheetViews>
    <sheetView workbookViewId="0">
      <selection activeCell="D7" sqref="D7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5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7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asgm_1_SSurname4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53E48-5398-449A-8A50-4B3F93EC00B2}">
  <sheetPr codeName="Sheet4"/>
  <dimension ref="A1:K56"/>
  <sheetViews>
    <sheetView workbookViewId="0">
      <selection activeCell="D14" sqref="D1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22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41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asgm_1_ACamarena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>
        <v>1</v>
      </c>
      <c r="G7" s="11" t="s">
        <v>73</v>
      </c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>
        <v>0</v>
      </c>
      <c r="G8" s="11" t="s">
        <v>73</v>
      </c>
    </row>
    <row r="9" spans="1:7" x14ac:dyDescent="0.3">
      <c r="A9" s="23" t="s">
        <v>62</v>
      </c>
      <c r="B9" s="8">
        <v>0.7</v>
      </c>
      <c r="C9" s="8" t="s">
        <v>73</v>
      </c>
      <c r="D9" s="9" t="s">
        <v>20</v>
      </c>
      <c r="E9" s="9" t="s">
        <v>20</v>
      </c>
      <c r="F9" s="10">
        <v>0.6</v>
      </c>
      <c r="G9" s="11" t="s">
        <v>73</v>
      </c>
    </row>
    <row r="10" spans="1:7" x14ac:dyDescent="0.3">
      <c r="A10" s="23" t="s">
        <v>63</v>
      </c>
      <c r="B10" s="8">
        <v>0.8</v>
      </c>
      <c r="C10" s="8" t="s">
        <v>73</v>
      </c>
      <c r="D10" s="9" t="s">
        <v>20</v>
      </c>
      <c r="E10" s="9" t="s">
        <v>20</v>
      </c>
      <c r="F10" s="10">
        <v>0.8</v>
      </c>
      <c r="G10" s="11" t="s">
        <v>73</v>
      </c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>
        <v>1.1000000000000001</v>
      </c>
      <c r="G11" s="11" t="s">
        <v>73</v>
      </c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>
        <v>0.4</v>
      </c>
      <c r="G12" s="11" t="s">
        <v>73</v>
      </c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>
        <v>0.5</v>
      </c>
      <c r="G13" s="11" t="s">
        <v>73</v>
      </c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>
        <v>0.5</v>
      </c>
      <c r="G14" s="11" t="s">
        <v>73</v>
      </c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>
        <v>0</v>
      </c>
      <c r="G15" s="11" t="s">
        <v>73</v>
      </c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>
        <v>0</v>
      </c>
      <c r="G16" s="11" t="s">
        <v>73</v>
      </c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>
        <v>0.5</v>
      </c>
      <c r="G17" s="11" t="s">
        <v>73</v>
      </c>
    </row>
    <row r="18" spans="1:7" x14ac:dyDescent="0.3">
      <c r="A18" s="23" t="s">
        <v>72</v>
      </c>
      <c r="B18" s="8">
        <v>0.5</v>
      </c>
      <c r="C18" s="8" t="s">
        <v>73</v>
      </c>
      <c r="D18" s="9" t="s">
        <v>20</v>
      </c>
      <c r="E18" s="9" t="s">
        <v>20</v>
      </c>
      <c r="F18" s="10">
        <v>0.5</v>
      </c>
      <c r="G18" s="11" t="s">
        <v>73</v>
      </c>
    </row>
    <row r="19" spans="1:7" x14ac:dyDescent="0.3">
      <c r="A19" s="23" t="s">
        <v>71</v>
      </c>
      <c r="B19" s="8">
        <v>0.45</v>
      </c>
      <c r="C19" s="8" t="s">
        <v>73</v>
      </c>
      <c r="D19" s="9"/>
      <c r="E19" s="9"/>
      <c r="F19" s="10">
        <v>0.45</v>
      </c>
      <c r="G19" s="11" t="s">
        <v>73</v>
      </c>
    </row>
    <row r="20" spans="1:7" x14ac:dyDescent="0.3">
      <c r="A20" s="23" t="s">
        <v>77</v>
      </c>
      <c r="B20" s="8">
        <v>0.45</v>
      </c>
      <c r="C20" s="8" t="s">
        <v>73</v>
      </c>
      <c r="D20" s="9" t="s">
        <v>20</v>
      </c>
      <c r="E20" s="9" t="s">
        <v>20</v>
      </c>
      <c r="F20" s="10">
        <v>0.45</v>
      </c>
      <c r="G20" s="11" t="s">
        <v>73</v>
      </c>
    </row>
    <row r="21" spans="1:7" x14ac:dyDescent="0.3">
      <c r="A21" s="2"/>
      <c r="B21" s="2"/>
      <c r="C21" s="2"/>
      <c r="D21" s="2"/>
      <c r="E21" s="2"/>
      <c r="F21" s="2"/>
      <c r="G21" s="2"/>
    </row>
    <row r="22" spans="1:7" x14ac:dyDescent="0.3">
      <c r="A22" s="12" t="s">
        <v>0</v>
      </c>
      <c r="B22" s="10">
        <f>SUM(B7:B20)</f>
        <v>9.9999999999999982</v>
      </c>
      <c r="C22" s="2"/>
      <c r="D22" s="2"/>
      <c r="E22" s="1" t="s">
        <v>0</v>
      </c>
      <c r="F22" s="20">
        <f>SUM(F7:F20)</f>
        <v>6.8000000000000007</v>
      </c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4B4D3-7D23-4CE8-8EF5-FB887A102BBD}">
  <sheetPr codeName="Sheet5"/>
  <dimension ref="A1:K56"/>
  <sheetViews>
    <sheetView workbookViewId="0">
      <selection activeCell="F22" sqref="F22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39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42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asgm_1_JCastelo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>
        <v>1</v>
      </c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>
        <v>0.8</v>
      </c>
      <c r="G8" s="11"/>
    </row>
    <row r="9" spans="1:7" x14ac:dyDescent="0.3">
      <c r="A9" s="23" t="s">
        <v>62</v>
      </c>
      <c r="B9" s="8">
        <v>0.7</v>
      </c>
      <c r="C9" s="8" t="s">
        <v>73</v>
      </c>
      <c r="D9" s="9" t="s">
        <v>20</v>
      </c>
      <c r="E9" s="9" t="s">
        <v>20</v>
      </c>
      <c r="F9" s="10">
        <v>0.7</v>
      </c>
      <c r="G9" s="11"/>
    </row>
    <row r="10" spans="1:7" x14ac:dyDescent="0.3">
      <c r="A10" s="23" t="s">
        <v>63</v>
      </c>
      <c r="B10" s="8">
        <v>0.8</v>
      </c>
      <c r="C10" s="8" t="s">
        <v>73</v>
      </c>
      <c r="D10" s="9" t="s">
        <v>20</v>
      </c>
      <c r="E10" s="9" t="s">
        <v>20</v>
      </c>
      <c r="F10" s="10">
        <v>0.8</v>
      </c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>
        <v>1.1000000000000001</v>
      </c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>
        <v>1.1000000000000001</v>
      </c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>
        <v>0.9</v>
      </c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>
        <v>0.5</v>
      </c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>
        <v>0</v>
      </c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>
        <v>0</v>
      </c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>
        <v>0.5</v>
      </c>
      <c r="G17" s="11"/>
    </row>
    <row r="18" spans="1:7" x14ac:dyDescent="0.3">
      <c r="A18" s="23" t="s">
        <v>72</v>
      </c>
      <c r="B18" s="8">
        <v>0.5</v>
      </c>
      <c r="C18" s="8" t="s">
        <v>73</v>
      </c>
      <c r="D18" s="9" t="s">
        <v>20</v>
      </c>
      <c r="E18" s="9" t="s">
        <v>20</v>
      </c>
      <c r="F18" s="10">
        <v>0.5</v>
      </c>
      <c r="G18" s="11"/>
    </row>
    <row r="19" spans="1:7" x14ac:dyDescent="0.3">
      <c r="A19" s="23" t="s">
        <v>71</v>
      </c>
      <c r="B19" s="8">
        <v>0.45</v>
      </c>
      <c r="C19" s="8" t="s">
        <v>73</v>
      </c>
      <c r="D19" s="9" t="s">
        <v>20</v>
      </c>
      <c r="E19" s="9" t="s">
        <v>20</v>
      </c>
      <c r="F19" s="10">
        <v>0.45</v>
      </c>
      <c r="G19" s="11"/>
    </row>
    <row r="20" spans="1:7" x14ac:dyDescent="0.3">
      <c r="A20" s="23" t="s">
        <v>77</v>
      </c>
      <c r="B20" s="8">
        <v>0.45</v>
      </c>
      <c r="C20" s="8" t="s">
        <v>73</v>
      </c>
      <c r="D20" s="9" t="s">
        <v>20</v>
      </c>
      <c r="E20" s="9" t="s">
        <v>20</v>
      </c>
      <c r="F20" s="10">
        <v>0.45</v>
      </c>
      <c r="G20" s="11"/>
    </row>
    <row r="21" spans="1:7" x14ac:dyDescent="0.3">
      <c r="A21" s="2"/>
      <c r="B21" s="2"/>
      <c r="C21" s="2"/>
      <c r="D21" s="2"/>
      <c r="E21" s="2"/>
      <c r="F21" s="2"/>
      <c r="G21" s="2"/>
    </row>
    <row r="22" spans="1:7" x14ac:dyDescent="0.3">
      <c r="A22" s="12" t="s">
        <v>0</v>
      </c>
      <c r="B22" s="10">
        <f>SUM(B7:B20)</f>
        <v>9.9999999999999982</v>
      </c>
      <c r="C22" s="2"/>
      <c r="D22" s="2"/>
      <c r="E22" s="1" t="s">
        <v>0</v>
      </c>
      <c r="F22" s="20">
        <f>SUM(F7:F20)</f>
        <v>8.7999999999999989</v>
      </c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6CCD9-ABF0-474C-8DCD-AA12226D990A}">
  <sheetPr codeName="Sheet6"/>
  <dimension ref="A1:K56"/>
  <sheetViews>
    <sheetView workbookViewId="0">
      <selection activeCell="F14" sqref="F14:F15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23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43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asgm_1_DLarrañaga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>
        <v>1</v>
      </c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>
        <v>0.8</v>
      </c>
      <c r="G8" s="11"/>
    </row>
    <row r="9" spans="1:7" x14ac:dyDescent="0.3">
      <c r="A9" s="23" t="s">
        <v>62</v>
      </c>
      <c r="B9" s="8">
        <v>0.7</v>
      </c>
      <c r="C9" s="8" t="s">
        <v>73</v>
      </c>
      <c r="D9" s="9" t="s">
        <v>20</v>
      </c>
      <c r="E9" s="9" t="s">
        <v>20</v>
      </c>
      <c r="F9" s="10">
        <v>0.8</v>
      </c>
      <c r="G9" s="11"/>
    </row>
    <row r="10" spans="1:7" x14ac:dyDescent="0.3">
      <c r="A10" s="23" t="s">
        <v>63</v>
      </c>
      <c r="B10" s="8">
        <v>0.8</v>
      </c>
      <c r="C10" s="8" t="s">
        <v>73</v>
      </c>
      <c r="D10" s="9" t="s">
        <v>20</v>
      </c>
      <c r="E10" s="9" t="s">
        <v>20</v>
      </c>
      <c r="F10" s="10">
        <v>0.7</v>
      </c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>
        <v>1.1000000000000001</v>
      </c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>
        <v>1.1000000000000001</v>
      </c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>
        <v>0.5</v>
      </c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>
        <v>0.5</v>
      </c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>
        <v>0.5</v>
      </c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>
        <v>0</v>
      </c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>
        <v>0.5</v>
      </c>
      <c r="G17" s="11"/>
    </row>
    <row r="18" spans="1:7" x14ac:dyDescent="0.3">
      <c r="A18" s="23" t="s">
        <v>72</v>
      </c>
      <c r="B18" s="8">
        <v>0.5</v>
      </c>
      <c r="C18" s="8" t="s">
        <v>73</v>
      </c>
      <c r="D18" s="9" t="s">
        <v>20</v>
      </c>
      <c r="E18" s="9" t="s">
        <v>20</v>
      </c>
      <c r="F18" s="10">
        <v>0.5</v>
      </c>
      <c r="G18" s="11"/>
    </row>
    <row r="19" spans="1:7" x14ac:dyDescent="0.3">
      <c r="A19" s="23" t="s">
        <v>71</v>
      </c>
      <c r="B19" s="8">
        <v>0.45</v>
      </c>
      <c r="C19" s="8" t="s">
        <v>73</v>
      </c>
      <c r="D19" s="9"/>
      <c r="E19" s="9"/>
      <c r="F19" s="32">
        <v>0.1</v>
      </c>
      <c r="G19" s="11"/>
    </row>
    <row r="20" spans="1:7" x14ac:dyDescent="0.3">
      <c r="A20" s="23" t="s">
        <v>77</v>
      </c>
      <c r="B20" s="8">
        <v>0.45</v>
      </c>
      <c r="C20" s="8" t="s">
        <v>73</v>
      </c>
      <c r="D20" s="9"/>
      <c r="E20" s="9"/>
      <c r="F20" s="10">
        <v>0.45</v>
      </c>
      <c r="G20" s="11"/>
    </row>
    <row r="21" spans="1:7" x14ac:dyDescent="0.3">
      <c r="A21" s="2"/>
      <c r="B21" s="2"/>
      <c r="C21" s="2"/>
      <c r="D21" s="2"/>
      <c r="E21" s="2"/>
      <c r="F21" s="2"/>
      <c r="G21" s="2"/>
    </row>
    <row r="22" spans="1:7" x14ac:dyDescent="0.3">
      <c r="A22" s="12" t="s">
        <v>0</v>
      </c>
      <c r="B22" s="10">
        <f>SUM(B7:B20)</f>
        <v>9.9999999999999982</v>
      </c>
      <c r="C22" s="2"/>
      <c r="D22" s="2"/>
      <c r="E22" s="1" t="s">
        <v>0</v>
      </c>
      <c r="F22" s="20">
        <f>SUM(F7:F20)</f>
        <v>8.5499999999999989</v>
      </c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CC00A-3487-4CD4-9CCB-4AD4AFC1F178}">
  <sheetPr codeName="Sheet7"/>
  <dimension ref="A1:K56"/>
  <sheetViews>
    <sheetView workbookViewId="0">
      <selection activeCell="A7" sqref="A7:B20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24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44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asgm_1_MDiarra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>
        <v>1</v>
      </c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>
        <v>0.8</v>
      </c>
      <c r="G8" s="11"/>
    </row>
    <row r="9" spans="1:7" x14ac:dyDescent="0.3">
      <c r="A9" s="23" t="s">
        <v>62</v>
      </c>
      <c r="B9" s="8">
        <v>0.7</v>
      </c>
      <c r="C9" s="8" t="s">
        <v>73</v>
      </c>
      <c r="D9" s="9" t="s">
        <v>20</v>
      </c>
      <c r="E9" s="9" t="s">
        <v>20</v>
      </c>
      <c r="F9" s="10">
        <v>0.7</v>
      </c>
      <c r="G9" s="11"/>
    </row>
    <row r="10" spans="1:7" x14ac:dyDescent="0.3">
      <c r="A10" s="23" t="s">
        <v>63</v>
      </c>
      <c r="B10" s="8">
        <v>0.8</v>
      </c>
      <c r="C10" s="8" t="s">
        <v>73</v>
      </c>
      <c r="D10" s="9" t="s">
        <v>20</v>
      </c>
      <c r="E10" s="9" t="s">
        <v>20</v>
      </c>
      <c r="F10" s="10">
        <v>0.8</v>
      </c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>
        <v>1.1000000000000001</v>
      </c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>
        <v>1.1000000000000001</v>
      </c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>
        <v>0.5</v>
      </c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>
        <v>0.5</v>
      </c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>
        <v>0.5</v>
      </c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>
        <v>0</v>
      </c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>
        <v>0.5</v>
      </c>
      <c r="G17" s="11"/>
    </row>
    <row r="18" spans="1:7" x14ac:dyDescent="0.3">
      <c r="A18" s="23" t="s">
        <v>72</v>
      </c>
      <c r="B18" s="8">
        <v>0.5</v>
      </c>
      <c r="C18" s="8" t="s">
        <v>73</v>
      </c>
      <c r="D18" s="9" t="s">
        <v>20</v>
      </c>
      <c r="E18" s="9" t="s">
        <v>20</v>
      </c>
      <c r="F18" s="10">
        <v>0.5</v>
      </c>
      <c r="G18" s="11"/>
    </row>
    <row r="19" spans="1:7" x14ac:dyDescent="0.3">
      <c r="A19" s="23" t="s">
        <v>71</v>
      </c>
      <c r="B19" s="8">
        <v>0.45</v>
      </c>
      <c r="C19" s="8" t="s">
        <v>73</v>
      </c>
      <c r="D19" s="9" t="s">
        <v>20</v>
      </c>
      <c r="E19" s="9" t="s">
        <v>20</v>
      </c>
      <c r="F19" s="10">
        <v>0.45</v>
      </c>
      <c r="G19" s="11"/>
    </row>
    <row r="20" spans="1:7" x14ac:dyDescent="0.3">
      <c r="A20" s="23" t="s">
        <v>77</v>
      </c>
      <c r="B20" s="8">
        <v>0.45</v>
      </c>
      <c r="C20" s="8" t="s">
        <v>73</v>
      </c>
      <c r="D20" s="9" t="s">
        <v>20</v>
      </c>
      <c r="E20" s="9" t="s">
        <v>20</v>
      </c>
      <c r="F20" s="10">
        <v>0.45</v>
      </c>
      <c r="G20" s="11"/>
    </row>
    <row r="21" spans="1:7" x14ac:dyDescent="0.3">
      <c r="A21" s="2"/>
      <c r="B21" s="2"/>
      <c r="C21" s="2"/>
      <c r="D21" s="2"/>
      <c r="E21" s="2"/>
      <c r="F21" s="2"/>
      <c r="G21" s="2"/>
    </row>
    <row r="22" spans="1:7" x14ac:dyDescent="0.3">
      <c r="A22" s="12" t="s">
        <v>0</v>
      </c>
      <c r="B22" s="10">
        <f>SUM(B7:B20)</f>
        <v>9.9999999999999982</v>
      </c>
      <c r="C22" s="2"/>
      <c r="D22" s="2"/>
      <c r="E22" s="1" t="s">
        <v>0</v>
      </c>
      <c r="F22" s="20">
        <f>SUM(F7:F20)</f>
        <v>8.8999999999999986</v>
      </c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755F4-ED1A-403B-B3D0-6BC72EEE21DA}">
  <sheetPr codeName="Sheet8"/>
  <dimension ref="A1:K56"/>
  <sheetViews>
    <sheetView workbookViewId="0">
      <selection activeCell="F21" sqref="F21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25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45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asgm_1_FMartin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>
        <v>1</v>
      </c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>
        <v>0.8</v>
      </c>
      <c r="G8" s="11"/>
    </row>
    <row r="9" spans="1:7" x14ac:dyDescent="0.3">
      <c r="A9" s="23" t="s">
        <v>62</v>
      </c>
      <c r="B9" s="8">
        <v>0.7</v>
      </c>
      <c r="C9" s="8" t="s">
        <v>73</v>
      </c>
      <c r="D9" s="9" t="s">
        <v>20</v>
      </c>
      <c r="E9" s="9" t="s">
        <v>20</v>
      </c>
      <c r="F9" s="10">
        <v>0.7</v>
      </c>
      <c r="G9" s="11"/>
    </row>
    <row r="10" spans="1:7" x14ac:dyDescent="0.3">
      <c r="A10" s="23" t="s">
        <v>63</v>
      </c>
      <c r="B10" s="8">
        <v>0.8</v>
      </c>
      <c r="C10" s="8" t="s">
        <v>73</v>
      </c>
      <c r="D10" s="9" t="s">
        <v>20</v>
      </c>
      <c r="E10" s="9" t="s">
        <v>20</v>
      </c>
      <c r="F10" s="10">
        <v>0.4</v>
      </c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>
        <v>1.1000000000000001</v>
      </c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>
        <v>0.55000000000000004</v>
      </c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>
        <v>0.55000000000000004</v>
      </c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>
        <v>0.5</v>
      </c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>
        <v>0</v>
      </c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>
        <v>0.5</v>
      </c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>
        <v>0.5</v>
      </c>
      <c r="G17" s="11"/>
    </row>
    <row r="18" spans="1:7" x14ac:dyDescent="0.3">
      <c r="A18" s="23" t="s">
        <v>72</v>
      </c>
      <c r="B18" s="8">
        <v>0.5</v>
      </c>
      <c r="C18" s="8" t="s">
        <v>73</v>
      </c>
      <c r="D18" s="9" t="s">
        <v>20</v>
      </c>
      <c r="E18" s="9" t="s">
        <v>20</v>
      </c>
      <c r="F18" s="10">
        <v>0.5</v>
      </c>
      <c r="G18" s="11"/>
    </row>
    <row r="19" spans="1:7" x14ac:dyDescent="0.3">
      <c r="A19" s="23" t="s">
        <v>71</v>
      </c>
      <c r="B19" s="8">
        <v>0.45</v>
      </c>
      <c r="C19" s="8" t="s">
        <v>73</v>
      </c>
      <c r="D19" s="9" t="s">
        <v>20</v>
      </c>
      <c r="E19" s="9" t="s">
        <v>20</v>
      </c>
      <c r="F19" s="10">
        <v>0.1</v>
      </c>
      <c r="G19" s="11"/>
    </row>
    <row r="20" spans="1:7" x14ac:dyDescent="0.3">
      <c r="A20" s="23" t="s">
        <v>77</v>
      </c>
      <c r="B20" s="8">
        <v>0.45</v>
      </c>
      <c r="C20" s="8" t="s">
        <v>73</v>
      </c>
      <c r="D20" s="9" t="s">
        <v>20</v>
      </c>
      <c r="E20" s="9" t="s">
        <v>20</v>
      </c>
      <c r="F20" s="10">
        <v>0.45</v>
      </c>
      <c r="G20" s="11"/>
    </row>
    <row r="21" spans="1:7" x14ac:dyDescent="0.3">
      <c r="A21" s="2"/>
      <c r="B21" s="2"/>
      <c r="C21" s="2"/>
      <c r="D21" s="2"/>
      <c r="E21" s="2"/>
      <c r="F21" s="2"/>
      <c r="G21" s="2"/>
    </row>
    <row r="22" spans="1:7" x14ac:dyDescent="0.3">
      <c r="A22" s="12" t="s">
        <v>0</v>
      </c>
      <c r="B22" s="10">
        <f>SUM(B7:B20)</f>
        <v>9.9999999999999982</v>
      </c>
      <c r="C22" s="2"/>
      <c r="D22" s="2"/>
      <c r="E22" s="1" t="s">
        <v>0</v>
      </c>
      <c r="F22" s="20">
        <f>SUM(F7:F20)</f>
        <v>7.6499999999999995</v>
      </c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E11F3-019E-4C56-9757-48227DBAA38A}">
  <sheetPr codeName="Sheet9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26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46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asgm_1_NFeiger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A1705-D39F-4FAF-8F6E-2CBAF3F1B11C}">
  <sheetPr codeName="Sheet10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27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47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asgm_1_SGonzalez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38075-DEE1-4162-A70F-07700007EB05}">
  <sheetPr codeName="Sheet11"/>
  <dimension ref="A1:K55"/>
  <sheetViews>
    <sheetView tabSelected="1"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28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48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asgm_1_FJimenez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B19F-ECE6-4D10-9F60-FB377AB7BD20}">
  <sheetPr codeName="Sheet12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29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49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asgm_1_VLopez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2A46-6306-4809-9EC8-F49059BA33BF}">
  <sheetPr codeName="Sheet13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30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50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asgm_1_EMarmolejos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0255-5A99-487D-891A-1E56C7F3A404}">
  <sheetPr codeName="Sheet14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40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51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asgm_1_SMartinez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85CF-AF83-4C2D-857A-AA5E91959230}">
  <sheetPr codeName="Sheet15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31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52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asgm_1_EMeier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1698-73D6-4F78-B78B-60C0FBA68C0A}">
  <sheetPr codeName="Sheet16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32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53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asgm_1_AOcariz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D5529-3D09-4029-B08A-07CC2D91FCEF}">
  <sheetPr codeName="Sheet17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33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54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asgm_1_TPloquin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9034-167E-4D16-902C-19EF243B3030}">
  <sheetPr codeName="Sheet18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34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55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asgm_1_SRos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012A-B131-4FC3-8A33-67E923E318EC}">
  <sheetPr codeName="Sheet19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35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56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asgm_1_DSaldarriaga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F862C-C4E5-42ED-881D-A64B305E7238}">
  <sheetPr codeName="Sheet20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36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57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asgm_1_JTasende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2FF60-FAF1-4624-B654-5D7D4DD387E4}">
  <sheetPr codeName="Sheet21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37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58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asgm_1_SVásquez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7A212-A829-472C-936C-5E9BE9530605}">
  <sheetPr codeName="Sheet22"/>
  <dimension ref="A1:K55"/>
  <sheetViews>
    <sheetView workbookViewId="0">
      <selection activeCell="C16" sqref="C16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asgm_1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38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59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asgm_1_DVillalain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 t="s">
        <v>60</v>
      </c>
      <c r="B7" s="8">
        <v>1</v>
      </c>
      <c r="C7" s="8" t="s">
        <v>73</v>
      </c>
      <c r="D7" s="9" t="s">
        <v>20</v>
      </c>
      <c r="E7" s="9" t="s">
        <v>20</v>
      </c>
      <c r="F7" s="10"/>
      <c r="G7" s="11"/>
    </row>
    <row r="8" spans="1:7" x14ac:dyDescent="0.3">
      <c r="A8" s="23" t="s">
        <v>61</v>
      </c>
      <c r="B8" s="8">
        <v>0.8</v>
      </c>
      <c r="C8" s="8" t="s">
        <v>73</v>
      </c>
      <c r="D8" s="9" t="s">
        <v>20</v>
      </c>
      <c r="E8" s="9" t="s">
        <v>20</v>
      </c>
      <c r="F8" s="10"/>
      <c r="G8" s="11"/>
    </row>
    <row r="9" spans="1:7" x14ac:dyDescent="0.3">
      <c r="A9" s="23" t="s">
        <v>62</v>
      </c>
      <c r="B9" s="8">
        <v>0.8</v>
      </c>
      <c r="C9" s="8" t="s">
        <v>73</v>
      </c>
      <c r="D9" s="9" t="s">
        <v>20</v>
      </c>
      <c r="E9" s="9" t="s">
        <v>20</v>
      </c>
      <c r="F9" s="10"/>
      <c r="G9" s="11"/>
    </row>
    <row r="10" spans="1:7" x14ac:dyDescent="0.3">
      <c r="A10" s="23" t="s">
        <v>63</v>
      </c>
      <c r="B10" s="8">
        <v>0.7</v>
      </c>
      <c r="C10" s="8" t="s">
        <v>73</v>
      </c>
      <c r="D10" s="9" t="s">
        <v>20</v>
      </c>
      <c r="E10" s="9" t="s">
        <v>20</v>
      </c>
      <c r="F10" s="10"/>
      <c r="G10" s="11"/>
    </row>
    <row r="11" spans="1:7" x14ac:dyDescent="0.3">
      <c r="A11" s="23" t="s">
        <v>64</v>
      </c>
      <c r="B11" s="8">
        <v>1.1000000000000001</v>
      </c>
      <c r="C11" s="8" t="s">
        <v>73</v>
      </c>
      <c r="D11" s="9" t="s">
        <v>20</v>
      </c>
      <c r="E11" s="9" t="s">
        <v>20</v>
      </c>
      <c r="F11" s="10"/>
      <c r="G11" s="11"/>
    </row>
    <row r="12" spans="1:7" x14ac:dyDescent="0.3">
      <c r="A12" s="23" t="s">
        <v>65</v>
      </c>
      <c r="B12" s="8">
        <v>1.1000000000000001</v>
      </c>
      <c r="C12" s="8" t="s">
        <v>73</v>
      </c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1.1000000000000001</v>
      </c>
      <c r="C13" s="8" t="s">
        <v>73</v>
      </c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0.5</v>
      </c>
      <c r="C14" s="8" t="s">
        <v>73</v>
      </c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0.5</v>
      </c>
      <c r="C15" s="8" t="s">
        <v>73</v>
      </c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0.5</v>
      </c>
      <c r="C16" s="8" t="s">
        <v>73</v>
      </c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 t="s">
        <v>73</v>
      </c>
      <c r="D17" s="9" t="s">
        <v>20</v>
      </c>
      <c r="E17" s="9" t="s">
        <v>20</v>
      </c>
      <c r="F17" s="10"/>
      <c r="G17" s="11"/>
    </row>
    <row r="18" spans="1:7" x14ac:dyDescent="0.3">
      <c r="A18" s="23" t="s">
        <v>72</v>
      </c>
      <c r="B18" s="8">
        <v>0.7</v>
      </c>
      <c r="C18" s="8" t="s">
        <v>73</v>
      </c>
      <c r="D18" s="9" t="s">
        <v>20</v>
      </c>
      <c r="E18" s="9" t="s">
        <v>20</v>
      </c>
      <c r="F18" s="10"/>
      <c r="G18" s="11"/>
    </row>
    <row r="19" spans="1:7" x14ac:dyDescent="0.3">
      <c r="A19" s="23" t="s">
        <v>71</v>
      </c>
      <c r="B19" s="8">
        <v>0.7</v>
      </c>
      <c r="C19" s="8" t="s">
        <v>73</v>
      </c>
      <c r="D19" s="9" t="s">
        <v>20</v>
      </c>
      <c r="E19" s="9" t="s">
        <v>20</v>
      </c>
      <c r="F19" s="10"/>
      <c r="G19" s="11"/>
    </row>
    <row r="20" spans="1:7" x14ac:dyDescent="0.3">
      <c r="A20" s="2"/>
      <c r="B20" s="2"/>
      <c r="C20" s="2"/>
      <c r="D20" s="2"/>
      <c r="E20" s="2"/>
      <c r="F20" s="2"/>
      <c r="G20" s="2"/>
    </row>
    <row r="21" spans="1:7" x14ac:dyDescent="0.3">
      <c r="A21" s="12" t="s">
        <v>0</v>
      </c>
      <c r="B21" s="10">
        <f>SUM(B7:B19)</f>
        <v>9.9999999999999982</v>
      </c>
      <c r="C21" s="2"/>
      <c r="D21" s="2"/>
      <c r="E21" s="1" t="s">
        <v>0</v>
      </c>
      <c r="F21" s="20">
        <f>SUM(F7:F18)</f>
        <v>0</v>
      </c>
      <c r="G21" s="2"/>
    </row>
    <row r="22" spans="1:7" x14ac:dyDescent="0.3">
      <c r="A22" s="2"/>
      <c r="B22" s="2"/>
      <c r="C22" s="2"/>
      <c r="D22" s="2"/>
      <c r="E22" s="2"/>
      <c r="F22" s="2"/>
      <c r="G22" s="2"/>
    </row>
    <row r="23" spans="1:7" x14ac:dyDescent="0.3">
      <c r="A23" s="2"/>
      <c r="B23" s="2"/>
      <c r="C23" s="2"/>
      <c r="D23" s="2"/>
      <c r="E23" s="2"/>
      <c r="F23" s="2"/>
      <c r="G23" s="2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2"/>
      <c r="B25" s="2"/>
      <c r="C25" s="2"/>
      <c r="D25" s="2"/>
      <c r="E25" s="2"/>
      <c r="F25" s="2"/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189</vt:i4>
      </vt:variant>
    </vt:vector>
  </HeadingPairs>
  <TitlesOfParts>
    <vt:vector size="211" baseType="lpstr">
      <vt:lpstr>summary</vt:lpstr>
      <vt:lpstr>student_names</vt:lpstr>
      <vt:lpstr>st_template</vt:lpstr>
      <vt:lpstr>asgm_1_ACamarena_corrected</vt:lpstr>
      <vt:lpstr>asgm_1_JCastelo_corrected</vt:lpstr>
      <vt:lpstr>asgm_1_DLarrañaga_corrected</vt:lpstr>
      <vt:lpstr>asgm_1_MDiarra_corrected</vt:lpstr>
      <vt:lpstr>asgm_1_FMartin_corrected</vt:lpstr>
      <vt:lpstr>asgm_1_NFeiger</vt:lpstr>
      <vt:lpstr>asgm_1_SGonzalez</vt:lpstr>
      <vt:lpstr>asgm_1_FJimenez</vt:lpstr>
      <vt:lpstr>asgm_1_VLopez</vt:lpstr>
      <vt:lpstr>asgm_1_EMarmolejos</vt:lpstr>
      <vt:lpstr>asgm_1_SMartinez</vt:lpstr>
      <vt:lpstr>asgm_1_EMeier</vt:lpstr>
      <vt:lpstr>asgm_1_AOcariz</vt:lpstr>
      <vt:lpstr>asgm_1_TPloquin</vt:lpstr>
      <vt:lpstr>asgm_1_SRos</vt:lpstr>
      <vt:lpstr>asgm_1_DSaldarriaga</vt:lpstr>
      <vt:lpstr>asgm_1_JTasende</vt:lpstr>
      <vt:lpstr>asgm_1_SVásquez</vt:lpstr>
      <vt:lpstr>asgm_1_DVillalain</vt:lpstr>
      <vt:lpstr>asgm_1_ACamarena_corrected!answer_col</vt:lpstr>
      <vt:lpstr>asgm_1_AOcariz!answer_col</vt:lpstr>
      <vt:lpstr>asgm_1_DLarrañaga_corrected!answer_col</vt:lpstr>
      <vt:lpstr>asgm_1_DSaldarriaga!answer_col</vt:lpstr>
      <vt:lpstr>asgm_1_DVillalain!answer_col</vt:lpstr>
      <vt:lpstr>asgm_1_EMarmolejos!answer_col</vt:lpstr>
      <vt:lpstr>asgm_1_EMeier!answer_col</vt:lpstr>
      <vt:lpstr>asgm_1_FJimenez!answer_col</vt:lpstr>
      <vt:lpstr>asgm_1_FMartin_corrected!answer_col</vt:lpstr>
      <vt:lpstr>asgm_1_JCastelo_corrected!answer_col</vt:lpstr>
      <vt:lpstr>asgm_1_JTasende!answer_col</vt:lpstr>
      <vt:lpstr>asgm_1_MDiarra_corrected!answer_col</vt:lpstr>
      <vt:lpstr>asgm_1_NFeiger!answer_col</vt:lpstr>
      <vt:lpstr>asgm_1_SGonzalez!answer_col</vt:lpstr>
      <vt:lpstr>asgm_1_SMartinez!answer_col</vt:lpstr>
      <vt:lpstr>asgm_1_SRos!answer_col</vt:lpstr>
      <vt:lpstr>asgm_1_SVásquez!answer_col</vt:lpstr>
      <vt:lpstr>asgm_1_TPloquin!answer_col</vt:lpstr>
      <vt:lpstr>asgm_1_VLopez!answer_col</vt:lpstr>
      <vt:lpstr>st_template!answer_col</vt:lpstr>
      <vt:lpstr>student_names!assignment_file</vt:lpstr>
      <vt:lpstr>asgm_1_ACamarena_corrected!assignment_id</vt:lpstr>
      <vt:lpstr>asgm_1_AOcariz!assignment_id</vt:lpstr>
      <vt:lpstr>asgm_1_DLarrañaga_corrected!assignment_id</vt:lpstr>
      <vt:lpstr>asgm_1_DSaldarriaga!assignment_id</vt:lpstr>
      <vt:lpstr>asgm_1_DVillalain!assignment_id</vt:lpstr>
      <vt:lpstr>asgm_1_EMarmolejos!assignment_id</vt:lpstr>
      <vt:lpstr>asgm_1_EMeier!assignment_id</vt:lpstr>
      <vt:lpstr>asgm_1_FJimenez!assignment_id</vt:lpstr>
      <vt:lpstr>asgm_1_FMartin_corrected!assignment_id</vt:lpstr>
      <vt:lpstr>asgm_1_JCastelo_corrected!assignment_id</vt:lpstr>
      <vt:lpstr>asgm_1_JTasende!assignment_id</vt:lpstr>
      <vt:lpstr>asgm_1_MDiarra_corrected!assignment_id</vt:lpstr>
      <vt:lpstr>asgm_1_NFeiger!assignment_id</vt:lpstr>
      <vt:lpstr>asgm_1_SGonzalez!assignment_id</vt:lpstr>
      <vt:lpstr>asgm_1_SMartinez!assignment_id</vt:lpstr>
      <vt:lpstr>asgm_1_SRos!assignment_id</vt:lpstr>
      <vt:lpstr>asgm_1_SVásquez!assignment_id</vt:lpstr>
      <vt:lpstr>asgm_1_TPloquin!assignment_id</vt:lpstr>
      <vt:lpstr>asgm_1_VLopez!assignment_id</vt:lpstr>
      <vt:lpstr>st_template!assignment_id</vt:lpstr>
      <vt:lpstr>student_names!assignment_id</vt:lpstr>
      <vt:lpstr>asgm_1_ACamarena_corrected!feedback_col</vt:lpstr>
      <vt:lpstr>asgm_1_AOcariz!feedback_col</vt:lpstr>
      <vt:lpstr>asgm_1_DLarrañaga_corrected!feedback_col</vt:lpstr>
      <vt:lpstr>asgm_1_DSaldarriaga!feedback_col</vt:lpstr>
      <vt:lpstr>asgm_1_DVillalain!feedback_col</vt:lpstr>
      <vt:lpstr>asgm_1_EMarmolejos!feedback_col</vt:lpstr>
      <vt:lpstr>asgm_1_EMeier!feedback_col</vt:lpstr>
      <vt:lpstr>asgm_1_FJimenez!feedback_col</vt:lpstr>
      <vt:lpstr>asgm_1_FMartin_corrected!feedback_col</vt:lpstr>
      <vt:lpstr>asgm_1_JCastelo_corrected!feedback_col</vt:lpstr>
      <vt:lpstr>asgm_1_JTasende!feedback_col</vt:lpstr>
      <vt:lpstr>asgm_1_MDiarra_corrected!feedback_col</vt:lpstr>
      <vt:lpstr>asgm_1_NFeiger!feedback_col</vt:lpstr>
      <vt:lpstr>asgm_1_SGonzalez!feedback_col</vt:lpstr>
      <vt:lpstr>asgm_1_SMartinez!feedback_col</vt:lpstr>
      <vt:lpstr>asgm_1_SRos!feedback_col</vt:lpstr>
      <vt:lpstr>asgm_1_SVásquez!feedback_col</vt:lpstr>
      <vt:lpstr>asgm_1_TPloquin!feedback_col</vt:lpstr>
      <vt:lpstr>asgm_1_VLopez!feedback_col</vt:lpstr>
      <vt:lpstr>st_template!feedback_col</vt:lpstr>
      <vt:lpstr>student_names!filenames</vt:lpstr>
      <vt:lpstr>asgm_1_ACamarena_corrected!filesname</vt:lpstr>
      <vt:lpstr>asgm_1_AOcariz!filesname</vt:lpstr>
      <vt:lpstr>asgm_1_DLarrañaga_corrected!filesname</vt:lpstr>
      <vt:lpstr>asgm_1_DSaldarriaga!filesname</vt:lpstr>
      <vt:lpstr>asgm_1_DVillalain!filesname</vt:lpstr>
      <vt:lpstr>asgm_1_EMarmolejos!filesname</vt:lpstr>
      <vt:lpstr>asgm_1_EMeier!filesname</vt:lpstr>
      <vt:lpstr>asgm_1_FJimenez!filesname</vt:lpstr>
      <vt:lpstr>asgm_1_FMartin_corrected!filesname</vt:lpstr>
      <vt:lpstr>asgm_1_JCastelo_corrected!filesname</vt:lpstr>
      <vt:lpstr>asgm_1_JTasende!filesname</vt:lpstr>
      <vt:lpstr>asgm_1_MDiarra_corrected!filesname</vt:lpstr>
      <vt:lpstr>asgm_1_NFeiger!filesname</vt:lpstr>
      <vt:lpstr>asgm_1_SGonzalez!filesname</vt:lpstr>
      <vt:lpstr>asgm_1_SMartinez!filesname</vt:lpstr>
      <vt:lpstr>asgm_1_SRos!filesname</vt:lpstr>
      <vt:lpstr>asgm_1_SVásquez!filesname</vt:lpstr>
      <vt:lpstr>asgm_1_TPloquin!filesname</vt:lpstr>
      <vt:lpstr>asgm_1_VLopez!filesname</vt:lpstr>
      <vt:lpstr>st_template!filesname</vt:lpstr>
      <vt:lpstr>asgm_1_ACamarena_corrected!grade_col</vt:lpstr>
      <vt:lpstr>asgm_1_AOcariz!grade_col</vt:lpstr>
      <vt:lpstr>asgm_1_DLarrañaga_corrected!grade_col</vt:lpstr>
      <vt:lpstr>asgm_1_DSaldarriaga!grade_col</vt:lpstr>
      <vt:lpstr>asgm_1_DVillalain!grade_col</vt:lpstr>
      <vt:lpstr>asgm_1_EMarmolejos!grade_col</vt:lpstr>
      <vt:lpstr>asgm_1_EMeier!grade_col</vt:lpstr>
      <vt:lpstr>asgm_1_FJimenez!grade_col</vt:lpstr>
      <vt:lpstr>asgm_1_FMartin_corrected!grade_col</vt:lpstr>
      <vt:lpstr>asgm_1_JCastelo_corrected!grade_col</vt:lpstr>
      <vt:lpstr>asgm_1_JTasende!grade_col</vt:lpstr>
      <vt:lpstr>asgm_1_MDiarra_corrected!grade_col</vt:lpstr>
      <vt:lpstr>asgm_1_NFeiger!grade_col</vt:lpstr>
      <vt:lpstr>asgm_1_SGonzalez!grade_col</vt:lpstr>
      <vt:lpstr>asgm_1_SMartinez!grade_col</vt:lpstr>
      <vt:lpstr>asgm_1_SRos!grade_col</vt:lpstr>
      <vt:lpstr>asgm_1_SVásquez!grade_col</vt:lpstr>
      <vt:lpstr>asgm_1_TPloquin!grade_col</vt:lpstr>
      <vt:lpstr>asgm_1_VLopez!grade_col</vt:lpstr>
      <vt:lpstr>st_template!grade_col</vt:lpstr>
      <vt:lpstr>grades_start</vt:lpstr>
      <vt:lpstr>asgm_1_ACamarena_corrected!max_grade_col</vt:lpstr>
      <vt:lpstr>asgm_1_AOcariz!max_grade_col</vt:lpstr>
      <vt:lpstr>asgm_1_DLarrañaga_corrected!max_grade_col</vt:lpstr>
      <vt:lpstr>asgm_1_DSaldarriaga!max_grade_col</vt:lpstr>
      <vt:lpstr>asgm_1_DVillalain!max_grade_col</vt:lpstr>
      <vt:lpstr>asgm_1_EMarmolejos!max_grade_col</vt:lpstr>
      <vt:lpstr>asgm_1_EMeier!max_grade_col</vt:lpstr>
      <vt:lpstr>asgm_1_FJimenez!max_grade_col</vt:lpstr>
      <vt:lpstr>asgm_1_FMartin_corrected!max_grade_col</vt:lpstr>
      <vt:lpstr>asgm_1_JCastelo_corrected!max_grade_col</vt:lpstr>
      <vt:lpstr>asgm_1_JTasende!max_grade_col</vt:lpstr>
      <vt:lpstr>asgm_1_MDiarra_corrected!max_grade_col</vt:lpstr>
      <vt:lpstr>asgm_1_NFeiger!max_grade_col</vt:lpstr>
      <vt:lpstr>asgm_1_SGonzalez!max_grade_col</vt:lpstr>
      <vt:lpstr>asgm_1_SMartinez!max_grade_col</vt:lpstr>
      <vt:lpstr>asgm_1_SRos!max_grade_col</vt:lpstr>
      <vt:lpstr>asgm_1_SVásquez!max_grade_col</vt:lpstr>
      <vt:lpstr>asgm_1_TPloquin!max_grade_col</vt:lpstr>
      <vt:lpstr>asgm_1_VLopez!max_grade_col</vt:lpstr>
      <vt:lpstr>st_template!max_grade_col</vt:lpstr>
      <vt:lpstr>max_grade_col</vt:lpstr>
      <vt:lpstr>student_names!names</vt:lpstr>
      <vt:lpstr>names_start</vt:lpstr>
      <vt:lpstr>asgm_1_ACamarena_corrected!section_col</vt:lpstr>
      <vt:lpstr>asgm_1_AOcariz!section_col</vt:lpstr>
      <vt:lpstr>asgm_1_DLarrañaga_corrected!section_col</vt:lpstr>
      <vt:lpstr>asgm_1_DSaldarriaga!section_col</vt:lpstr>
      <vt:lpstr>asgm_1_DVillalain!section_col</vt:lpstr>
      <vt:lpstr>asgm_1_EMarmolejos!section_col</vt:lpstr>
      <vt:lpstr>asgm_1_EMeier!section_col</vt:lpstr>
      <vt:lpstr>asgm_1_FJimenez!section_col</vt:lpstr>
      <vt:lpstr>asgm_1_FMartin_corrected!section_col</vt:lpstr>
      <vt:lpstr>asgm_1_JCastelo_corrected!section_col</vt:lpstr>
      <vt:lpstr>asgm_1_JTasende!section_col</vt:lpstr>
      <vt:lpstr>asgm_1_MDiarra_corrected!section_col</vt:lpstr>
      <vt:lpstr>asgm_1_NFeiger!section_col</vt:lpstr>
      <vt:lpstr>asgm_1_SGonzalez!section_col</vt:lpstr>
      <vt:lpstr>asgm_1_SMartinez!section_col</vt:lpstr>
      <vt:lpstr>asgm_1_SRos!section_col</vt:lpstr>
      <vt:lpstr>asgm_1_SVásquez!section_col</vt:lpstr>
      <vt:lpstr>asgm_1_TPloquin!section_col</vt:lpstr>
      <vt:lpstr>asgm_1_VLopez!section_col</vt:lpstr>
      <vt:lpstr>st_template!section_col</vt:lpstr>
      <vt:lpstr>section_col</vt:lpstr>
      <vt:lpstr>asgm_1_ACamarena_corrected!student_name</vt:lpstr>
      <vt:lpstr>asgm_1_AOcariz!student_name</vt:lpstr>
      <vt:lpstr>asgm_1_DLarrañaga_corrected!student_name</vt:lpstr>
      <vt:lpstr>asgm_1_DSaldarriaga!student_name</vt:lpstr>
      <vt:lpstr>asgm_1_DVillalain!student_name</vt:lpstr>
      <vt:lpstr>asgm_1_EMarmolejos!student_name</vt:lpstr>
      <vt:lpstr>asgm_1_EMeier!student_name</vt:lpstr>
      <vt:lpstr>asgm_1_FJimenez!student_name</vt:lpstr>
      <vt:lpstr>asgm_1_FMartin_corrected!student_name</vt:lpstr>
      <vt:lpstr>asgm_1_JCastelo_corrected!student_name</vt:lpstr>
      <vt:lpstr>asgm_1_JTasende!student_name</vt:lpstr>
      <vt:lpstr>asgm_1_MDiarra_corrected!student_name</vt:lpstr>
      <vt:lpstr>asgm_1_NFeiger!student_name</vt:lpstr>
      <vt:lpstr>asgm_1_SGonzalez!student_name</vt:lpstr>
      <vt:lpstr>asgm_1_SMartinez!student_name</vt:lpstr>
      <vt:lpstr>asgm_1_SRos!student_name</vt:lpstr>
      <vt:lpstr>asgm_1_SVásquez!student_name</vt:lpstr>
      <vt:lpstr>asgm_1_TPloquin!student_name</vt:lpstr>
      <vt:lpstr>asgm_1_VLopez!student_name</vt:lpstr>
      <vt:lpstr>st_template!student_name</vt:lpstr>
      <vt:lpstr>asgm_1_ACamarena_corrected!student_surname</vt:lpstr>
      <vt:lpstr>asgm_1_AOcariz!student_surname</vt:lpstr>
      <vt:lpstr>asgm_1_DLarrañaga_corrected!student_surname</vt:lpstr>
      <vt:lpstr>asgm_1_DSaldarriaga!student_surname</vt:lpstr>
      <vt:lpstr>asgm_1_DVillalain!student_surname</vt:lpstr>
      <vt:lpstr>asgm_1_EMarmolejos!student_surname</vt:lpstr>
      <vt:lpstr>asgm_1_EMeier!student_surname</vt:lpstr>
      <vt:lpstr>asgm_1_FJimenez!student_surname</vt:lpstr>
      <vt:lpstr>asgm_1_FMartin_corrected!student_surname</vt:lpstr>
      <vt:lpstr>asgm_1_JCastelo_corrected!student_surname</vt:lpstr>
      <vt:lpstr>asgm_1_JTasende!student_surname</vt:lpstr>
      <vt:lpstr>asgm_1_MDiarra_corrected!student_surname</vt:lpstr>
      <vt:lpstr>asgm_1_NFeiger!student_surname</vt:lpstr>
      <vt:lpstr>asgm_1_SGonzalez!student_surname</vt:lpstr>
      <vt:lpstr>asgm_1_SMartinez!student_surname</vt:lpstr>
      <vt:lpstr>asgm_1_SRos!student_surname</vt:lpstr>
      <vt:lpstr>asgm_1_SVásquez!student_surname</vt:lpstr>
      <vt:lpstr>asgm_1_TPloquin!student_surname</vt:lpstr>
      <vt:lpstr>asgm_1_VLopez!student_surname</vt:lpstr>
      <vt:lpstr>st_template!student_surname</vt:lpstr>
      <vt:lpstr>student_names!surnames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 Garbayo de Pablo</cp:lastModifiedBy>
  <dcterms:created xsi:type="dcterms:W3CDTF">2015-06-05T18:17:20Z</dcterms:created>
  <dcterms:modified xsi:type="dcterms:W3CDTF">2022-11-04T19:04:24Z</dcterms:modified>
</cp:coreProperties>
</file>